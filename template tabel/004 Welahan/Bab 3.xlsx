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V664Q4GFVRQTzUPqKXRx26ailRp8jSOMxyn0tuhMveo="/>
    </ext>
  </extLst>
</workbook>
</file>

<file path=xl/sharedStrings.xml><?xml version="1.0" encoding="utf-8"?>
<sst xmlns="http://schemas.openxmlformats.org/spreadsheetml/2006/main" count="1002" uniqueCount="242">
  <si>
    <t>Tabel 3.2</t>
  </si>
  <si>
    <t>Jumlah Penduduk Menurut Kelompok Umur dan Jenis
Kelamin di Kecamatan Welahan, 2025
Population by Age Groups and Sex in Welahan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</si>
  <si>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</si>
  <si>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</si>
  <si>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</si>
  <si>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</si>
  <si>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</si>
  <si>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3.1</t>
  </si>
  <si>
    <t>Tabel 3.4</t>
  </si>
  <si>
    <t>Penduduk, Distribusi Persentase Penduduk, Kepadatan
Penduduk, Rasio Jenis Kelamin Penduduk Menurut Desa/
Kelurahan di Kecamatan Welahan, 2025
Population, Percentage Distribution of Population,
Population Density, and Population Sex Ratio by Village/
Subdistrict in Welahan District, 2025</t>
  </si>
  <si>
    <t>Jumlah Penduduk Kecamatan Welahan Menurut
Kepemilikan Akta Kelahiran Berdasarkan Jenis Kelamin,
2025
Population of Welahan District According to Birth Certificate
Ownership Based on Gender, 2025</t>
  </si>
  <si>
    <t>(1)</t>
  </si>
  <si>
    <t>(2)</t>
  </si>
  <si>
    <t>(3)</t>
  </si>
  <si>
    <t>(4)</t>
  </si>
  <si>
    <t>0-4</t>
  </si>
  <si>
    <t>Desa/Kelurahan
Village/Subdistrict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</si>
  <si>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</si>
  <si>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</si>
  <si>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</si>
  <si>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</si>
  <si>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</si>
  <si>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</si>
  <si>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</si>
  <si>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5-9</t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</si>
  <si>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</si>
  <si>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</si>
  <si>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</si>
  <si>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10-14</t>
  </si>
  <si>
    <t>(5)</t>
  </si>
  <si>
    <t>(6)</t>
  </si>
  <si>
    <t>001</t>
  </si>
  <si>
    <t>(7)</t>
  </si>
  <si>
    <t>15-19</t>
  </si>
  <si>
    <t>(8)</t>
  </si>
  <si>
    <t>Ujungpandan</t>
  </si>
  <si>
    <t>20-24</t>
  </si>
  <si>
    <t>002</t>
  </si>
  <si>
    <t>Karanganyar</t>
  </si>
  <si>
    <t>25-29</t>
  </si>
  <si>
    <t>003</t>
  </si>
  <si>
    <t>Guwosubokerto</t>
  </si>
  <si>
    <t>30-34</t>
  </si>
  <si>
    <t>35-39</t>
  </si>
  <si>
    <t>004</t>
  </si>
  <si>
    <t>Kedungsarimulyo</t>
  </si>
  <si>
    <t>40-44</t>
  </si>
  <si>
    <t>005</t>
  </si>
  <si>
    <t>Bugo</t>
  </si>
  <si>
    <t>45-49</t>
  </si>
  <si>
    <t>Tabel 3.3</t>
  </si>
  <si>
    <t>006</t>
  </si>
  <si>
    <t>Welahan</t>
  </si>
  <si>
    <r>
      <rPr>
        <rFont val="Calibri"/>
        <color theme="1"/>
        <sz val="11.0"/>
      </rPr>
      <t xml:space="preserve">Jumlah Penduduk menurut Kelompok Umur, Jenis
Kelamin dan Desa/Kelurahan di Kecamatan Welahan, 2025
</t>
    </r>
    <r>
      <rPr>
        <rFont val="Calibri"/>
        <i/>
        <color theme="1"/>
        <sz val="11.0"/>
      </rPr>
      <t>Population by Age Groups, Sex, and Village/Subdistrict in
Welahan District, 2025</t>
    </r>
  </si>
  <si>
    <t>50-54</t>
  </si>
  <si>
    <t>007</t>
  </si>
  <si>
    <t>Gedangan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</si>
  <si>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</si>
  <si>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55-59</t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</si>
  <si>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</si>
  <si>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t>008</t>
  </si>
  <si>
    <t>60-64</t>
  </si>
  <si>
    <t>Ketilengsingolelo</t>
  </si>
  <si>
    <t>65-69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</si>
  <si>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</si>
  <si>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t>009</t>
  </si>
  <si>
    <t>Kalipucang Wetan</t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</si>
  <si>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</si>
  <si>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</si>
  <si>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t>70-74</t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</si>
  <si>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</si>
  <si>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010</t>
  </si>
  <si>
    <t>Kalipucang Kulon</t>
  </si>
  <si>
    <t>75+</t>
  </si>
  <si>
    <t>011</t>
  </si>
  <si>
    <t>Gidangelo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</si>
  <si>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</si>
  <si>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012</t>
  </si>
  <si>
    <t>Kendengsidialit</t>
  </si>
  <si>
    <t>013</t>
  </si>
  <si>
    <t>Sidigede</t>
  </si>
  <si>
    <t>014</t>
  </si>
  <si>
    <t>Telukwetan</t>
  </si>
  <si>
    <t>015</t>
  </si>
  <si>
    <t>Brantaksekarjati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</si>
  <si>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</si>
  <si>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</si>
  <si>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</si>
  <si>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</si>
  <si>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</si>
  <si>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</si>
  <si>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</si>
  <si>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</si>
  <si>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</si>
  <si>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</si>
  <si>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</si>
  <si>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Tabel 3.5</t>
  </si>
  <si>
    <t>Jumlah Penduduk Kecamatan Welahan Menurut
Kepemilikan Akta Kematian Berdasarkan Jenis Kelamin,
2025
Population of Welahan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</si>
  <si>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</si>
  <si>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</si>
  <si>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</si>
  <si>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</si>
  <si>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</si>
  <si>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</si>
  <si>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</si>
  <si>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</si>
  <si>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</si>
  <si>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</si>
  <si>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</si>
  <si>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</si>
  <si>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</si>
  <si>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Welahan,
2025
</t>
    </r>
    <r>
      <rPr>
        <rFont val="Calibri"/>
        <i/>
        <color theme="1"/>
        <sz val="11.0"/>
      </rPr>
      <t>Number of Residents Required to Hold an ID Card and Electronic ID Card Ownership in Welahan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</si>
  <si>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</si>
  <si>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</si>
  <si>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</si>
  <si>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</si>
  <si>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</si>
  <si>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</si>
  <si>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t>Tabel 3.7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</si>
  <si>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</si>
  <si>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</si>
  <si>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Kepemilikan Kartu Identitas Anak (KIA) di Kecamatan Welahan
Child Identity Card (KIA) Ownership in Welahan District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</si>
  <si>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</si>
  <si>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</si>
  <si>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</si>
  <si>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</si>
  <si>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t>(10)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</si>
  <si>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</si>
  <si>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(11)</t>
  </si>
  <si>
    <t>%</t>
  </si>
  <si>
    <t>(12)</t>
  </si>
  <si>
    <t>(13)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</si>
  <si>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</si>
  <si>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</si>
  <si>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</si>
  <si>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</si>
  <si>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</si>
  <si>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</si>
  <si>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3.8</t>
  </si>
  <si>
    <r>
      <rPr>
        <rFont val="Calibri"/>
        <color theme="1"/>
        <sz val="11.0"/>
      </rPr>
      <t>Jumlah Penduduk Kecamatan Welahan Berdasarkan Agama 2025                                                               P</t>
    </r>
    <r>
      <rPr>
        <rFont val="Calibri"/>
        <i/>
        <color theme="1"/>
        <sz val="11.0"/>
      </rPr>
      <t>opulation of Welahan District by Religion 2025</t>
    </r>
  </si>
  <si>
    <t>93,14</t>
  </si>
  <si>
    <t>93,74</t>
  </si>
  <si>
    <t>99,00</t>
  </si>
  <si>
    <t>94,61</t>
  </si>
  <si>
    <t>97,36</t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</si>
  <si>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</si>
  <si>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93,26</t>
  </si>
  <si>
    <t>Agama</t>
  </si>
  <si>
    <t>96,49</t>
  </si>
  <si>
    <t>94,5</t>
  </si>
  <si>
    <t>Islam</t>
  </si>
  <si>
    <t>Katholik</t>
  </si>
  <si>
    <t>95,49</t>
  </si>
  <si>
    <t>Kristen</t>
  </si>
  <si>
    <t>Hindu</t>
  </si>
  <si>
    <t>96,43</t>
  </si>
  <si>
    <t>Budha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</si>
  <si>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</si>
  <si>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Konghucu</t>
  </si>
  <si>
    <t>96,36</t>
  </si>
  <si>
    <t>Kepercayaan</t>
  </si>
  <si>
    <t>98,99</t>
  </si>
  <si>
    <t>98,15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</si>
  <si>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</si>
  <si>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</si>
  <si>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t>97,17</t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</si>
  <si>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</si>
  <si>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</si>
  <si>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97,55</t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</si>
  <si>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</si>
  <si>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</si>
  <si>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</si>
  <si>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93,98</t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</si>
  <si>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</si>
  <si>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</si>
  <si>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</si>
  <si>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</si>
  <si>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t>96,63</t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</si>
  <si>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</si>
  <si>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t>Jumlah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</si>
  <si>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</si>
  <si>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</si>
  <si>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</si>
  <si>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</si>
  <si>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</si>
  <si>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t>95,84</t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</si>
  <si>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</si>
  <si>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</si>
  <si>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</si>
  <si>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</si>
  <si>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</si>
  <si>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</si>
  <si>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</si>
  <si>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</si>
  <si>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</si>
  <si>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</si>
  <si>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</si>
  <si>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</si>
  <si>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</si>
  <si>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-</t>
  </si>
  <si>
    <t>(16)</t>
  </si>
  <si>
    <t>(17)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</si>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</sst>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color rgb="FF000000"/>
      <name val="Cambria"/>
    </font>
    <font>
      <sz val="11.0"/>
      <color theme="1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quotePrefix="1" borderId="3" fillId="0" fontId="2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left" shrinkToFit="0" vertical="center" wrapText="1"/>
    </xf>
    <xf borderId="3" fillId="0" fontId="2" numFmtId="0" xfId="0" applyAlignment="1" applyBorder="1" applyFont="1">
      <alignment horizontal="center" vertical="center"/>
    </xf>
    <xf borderId="10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3" fillId="0" fontId="2" numFmtId="0" xfId="0" applyAlignment="1" applyBorder="1" applyFont="1">
      <alignment horizontal="center"/>
    </xf>
    <xf quotePrefix="1" borderId="3" fillId="0" fontId="2" numFmtId="16" xfId="0" applyAlignment="1" applyBorder="1" applyFont="1" applyNumberFormat="1">
      <alignment horizontal="center" vertical="center"/>
    </xf>
    <xf quotePrefix="1" borderId="3" fillId="0" fontId="4" numFmtId="0" xfId="0" applyAlignment="1" applyBorder="1" applyFont="1">
      <alignment horizontal="center" shrinkToFit="0" vertical="center" wrapText="1"/>
    </xf>
    <xf quotePrefix="1" borderId="3" fillId="0" fontId="2" numFmtId="0" xfId="0" applyAlignment="1" applyBorder="1" applyFont="1">
      <alignment horizontal="center"/>
    </xf>
    <xf quotePrefix="1" borderId="3" fillId="0" fontId="2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3" fillId="0" fontId="2" numFmtId="0" xfId="0" applyAlignment="1" applyBorder="1" applyFont="1">
      <alignment horizontal="left" shrinkToFit="0" vertical="center" wrapText="1"/>
    </xf>
    <xf borderId="10" fillId="0" fontId="4" numFmtId="3" xfId="0" applyAlignment="1" applyBorder="1" applyFont="1" applyNumberFormat="1">
      <alignment horizontal="center" readingOrder="0" vertical="bottom"/>
    </xf>
    <xf borderId="10" fillId="0" fontId="5" numFmtId="3" xfId="0" applyAlignment="1" applyBorder="1" applyFont="1" applyNumberFormat="1">
      <alignment horizontal="center" readingOrder="0" vertical="bottom"/>
    </xf>
    <xf borderId="10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2" numFmtId="3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3" fillId="0" fontId="2" numFmtId="2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3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vertical="bottom"/>
    </xf>
    <xf quotePrefix="1" borderId="3" fillId="0" fontId="2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quotePrefix="1" borderId="4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wrapText="1"/>
    </xf>
    <xf borderId="10" fillId="0" fontId="4" numFmtId="3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shrinkToFit="0" textRotation="0" wrapText="1"/>
    </xf>
    <xf borderId="10" fillId="0" fontId="4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/>
    </xf>
    <xf borderId="14" fillId="0" fontId="3" numFmtId="0" xfId="0" applyBorder="1" applyFont="1"/>
    <xf borderId="13" fillId="0" fontId="2" numFmtId="0" xfId="0" applyAlignment="1" applyBorder="1" applyFont="1">
      <alignment horizontal="center" shrinkToFit="0" wrapText="1"/>
    </xf>
    <xf borderId="15" fillId="0" fontId="3" numFmtId="0" xfId="0" applyBorder="1" applyFont="1"/>
    <xf quotePrefix="1" borderId="12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center"/>
    </xf>
    <xf borderId="9" fillId="0" fontId="5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wrapText="1"/>
    </xf>
    <xf borderId="3" fillId="0" fontId="2" numFmtId="3" xfId="0" applyAlignment="1" applyBorder="1" applyFont="1" applyNumberFormat="1">
      <alignment horizontal="center" readingOrder="0" shrinkToFit="0" wrapText="1"/>
    </xf>
    <xf borderId="12" fillId="0" fontId="2" numFmtId="0" xfId="0" applyAlignment="1" applyBorder="1" applyFont="1">
      <alignment vertical="center"/>
    </xf>
    <xf borderId="3" fillId="0" fontId="6" numFmtId="0" xfId="0" applyAlignment="1" applyBorder="1" applyFont="1">
      <alignment horizontal="center" readingOrder="0" vertical="bottom"/>
    </xf>
    <xf borderId="13" fillId="0" fontId="2" numFmtId="49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wrapText="1"/>
    </xf>
    <xf borderId="9" fillId="2" fontId="7" numFmtId="0" xfId="0" applyAlignment="1" applyBorder="1" applyFill="1" applyFont="1">
      <alignment horizontal="center" readingOrder="0" vertical="bottom"/>
    </xf>
    <xf borderId="12" fillId="2" fontId="5" numFmtId="0" xfId="0" applyAlignment="1" applyBorder="1" applyFont="1">
      <alignment horizontal="right" readingOrder="0" shrinkToFit="0" vertical="bottom" wrapText="0"/>
    </xf>
    <xf borderId="3" fillId="0" fontId="2" numFmtId="49" xfId="0" applyAlignment="1" applyBorder="1" applyFont="1" applyNumberFormat="1">
      <alignment horizontal="center" vertical="center"/>
    </xf>
    <xf borderId="3" fillId="0" fontId="2" numFmtId="49" xfId="0" applyAlignment="1" applyBorder="1" applyFont="1" applyNumberFormat="1">
      <alignment horizontal="center" shrinkToFit="0" vertical="center" wrapText="1"/>
    </xf>
    <xf borderId="12" fillId="0" fontId="2" numFmtId="3" xfId="0" applyAlignment="1" applyBorder="1" applyFont="1" applyNumberFormat="1">
      <alignment horizontal="right" readingOrder="0" vertical="center"/>
    </xf>
    <xf borderId="12" fillId="0" fontId="2" numFmtId="0" xfId="0" applyAlignment="1" applyBorder="1" applyFont="1">
      <alignment readingOrder="0" vertical="center"/>
    </xf>
    <xf borderId="12" fillId="0" fontId="2" numFmtId="0" xfId="0" applyAlignment="1" applyBorder="1" applyFont="1">
      <alignment horizontal="right" readingOrder="0" vertical="center"/>
    </xf>
    <xf borderId="3" fillId="3" fontId="2" numFmtId="0" xfId="0" applyAlignment="1" applyBorder="1" applyFill="1" applyFont="1">
      <alignment horizontal="center" readingOrder="0" vertical="center"/>
    </xf>
    <xf borderId="12" fillId="3" fontId="2" numFmtId="3" xfId="0" applyAlignment="1" applyBorder="1" applyFont="1" applyNumberFormat="1">
      <alignment horizontal="right" readingOrder="0" vertical="center"/>
    </xf>
    <xf borderId="12" fillId="3" fontId="2" numFmtId="0" xfId="0" applyAlignment="1" applyBorder="1" applyFont="1">
      <alignment horizontal="right" readingOrder="0" vertical="center"/>
    </xf>
    <xf borderId="12" fillId="3" fontId="2" numFmtId="0" xfId="0" applyAlignment="1" applyBorder="1" applyFont="1">
      <alignment readingOrder="0" vertical="center"/>
    </xf>
    <xf borderId="12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30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7</v>
      </c>
      <c r="B1" s="2" t="s">
        <v>9</v>
      </c>
      <c r="I1" s="13"/>
    </row>
    <row r="2">
      <c r="I2" s="13"/>
    </row>
    <row r="3">
      <c r="I3" s="13"/>
    </row>
    <row r="4">
      <c r="I4" s="13"/>
    </row>
    <row r="5">
      <c r="I5" s="13"/>
    </row>
    <row r="6">
      <c r="I6" s="13"/>
    </row>
    <row r="7" ht="15.0" customHeight="1">
      <c r="A7" s="17" t="s">
        <v>16</v>
      </c>
      <c r="B7" s="18"/>
      <c r="C7" s="4"/>
      <c r="D7" s="5" t="s">
        <v>20</v>
      </c>
      <c r="E7" s="6"/>
      <c r="F7" s="6"/>
      <c r="G7" s="6"/>
      <c r="H7" s="6"/>
      <c r="I7" s="7"/>
    </row>
    <row r="8">
      <c r="A8" s="10"/>
      <c r="B8" s="16"/>
      <c r="C8" s="11"/>
      <c r="D8" s="19" t="s">
        <v>21</v>
      </c>
      <c r="E8" s="7"/>
      <c r="F8" s="19" t="s">
        <v>25</v>
      </c>
      <c r="G8" s="7"/>
      <c r="H8" s="19" t="s">
        <v>27</v>
      </c>
      <c r="I8" s="7"/>
    </row>
    <row r="9">
      <c r="A9" s="21" t="s">
        <v>11</v>
      </c>
      <c r="B9" s="6"/>
      <c r="C9" s="7"/>
      <c r="D9" s="22" t="s">
        <v>12</v>
      </c>
      <c r="E9" s="7"/>
      <c r="F9" s="22" t="s">
        <v>13</v>
      </c>
      <c r="G9" s="7"/>
      <c r="H9" s="22" t="s">
        <v>14</v>
      </c>
      <c r="I9" s="7"/>
    </row>
    <row r="10" ht="15.0" customHeight="1">
      <c r="A10" s="24" t="s">
        <v>31</v>
      </c>
      <c r="B10" s="25" t="s">
        <v>35</v>
      </c>
      <c r="C10" s="7"/>
      <c r="D10" s="26">
        <v>2099.0</v>
      </c>
      <c r="E10" s="11"/>
      <c r="F10" s="26">
        <v>2093.0</v>
      </c>
      <c r="G10" s="11"/>
      <c r="H10" s="26">
        <v>4192.0</v>
      </c>
      <c r="I10" s="11"/>
    </row>
    <row r="11" ht="15.0" customHeight="1">
      <c r="A11" s="24" t="s">
        <v>37</v>
      </c>
      <c r="B11" s="25" t="s">
        <v>38</v>
      </c>
      <c r="C11" s="7"/>
      <c r="D11" s="30">
        <v>931.0</v>
      </c>
      <c r="E11" s="11"/>
      <c r="F11" s="30">
        <v>873.0</v>
      </c>
      <c r="G11" s="11"/>
      <c r="H11" s="26">
        <v>1804.0</v>
      </c>
      <c r="I11" s="11"/>
    </row>
    <row r="12" ht="15.0" customHeight="1">
      <c r="A12" s="24" t="s">
        <v>40</v>
      </c>
      <c r="B12" s="25" t="s">
        <v>41</v>
      </c>
      <c r="C12" s="7"/>
      <c r="D12" s="26">
        <v>1349.0</v>
      </c>
      <c r="E12" s="11"/>
      <c r="F12" s="26">
        <v>1319.0</v>
      </c>
      <c r="G12" s="11"/>
      <c r="H12" s="26">
        <v>2668.0</v>
      </c>
      <c r="I12" s="11"/>
    </row>
    <row r="13" ht="15.0" customHeight="1">
      <c r="A13" s="24" t="s">
        <v>44</v>
      </c>
      <c r="B13" s="25" t="s">
        <v>45</v>
      </c>
      <c r="C13" s="7"/>
      <c r="D13" s="26">
        <v>1684.0</v>
      </c>
      <c r="E13" s="11"/>
      <c r="F13" s="26">
        <v>1647.0</v>
      </c>
      <c r="G13" s="11"/>
      <c r="H13" s="26">
        <v>3331.0</v>
      </c>
      <c r="I13" s="11"/>
    </row>
    <row r="14" ht="15.0" customHeight="1">
      <c r="A14" s="24" t="s">
        <v>47</v>
      </c>
      <c r="B14" s="25" t="s">
        <v>48</v>
      </c>
      <c r="C14" s="7"/>
      <c r="D14" s="26">
        <v>1791.0</v>
      </c>
      <c r="E14" s="11"/>
      <c r="F14" s="26">
        <v>1696.0</v>
      </c>
      <c r="G14" s="11"/>
      <c r="H14" s="26">
        <v>3487.0</v>
      </c>
      <c r="I14" s="11"/>
    </row>
    <row r="15">
      <c r="A15" s="24" t="s">
        <v>51</v>
      </c>
      <c r="B15" s="25" t="s">
        <v>52</v>
      </c>
      <c r="C15" s="7"/>
      <c r="D15" s="26">
        <v>4668.0</v>
      </c>
      <c r="E15" s="11"/>
      <c r="F15" s="26">
        <v>4638.0</v>
      </c>
      <c r="G15" s="11"/>
      <c r="H15" s="26">
        <v>9306.0</v>
      </c>
      <c r="I15" s="11"/>
    </row>
    <row r="16" ht="15.0" customHeight="1">
      <c r="A16" s="24" t="s">
        <v>55</v>
      </c>
      <c r="B16" s="25" t="s">
        <v>56</v>
      </c>
      <c r="C16" s="7"/>
      <c r="D16" s="30">
        <v>934.0</v>
      </c>
      <c r="E16" s="11"/>
      <c r="F16" s="30">
        <v>919.0</v>
      </c>
      <c r="G16" s="11"/>
      <c r="H16" s="26">
        <v>1853.0</v>
      </c>
      <c r="I16" s="11"/>
    </row>
    <row r="17" ht="15.0" customHeight="1">
      <c r="A17" s="24" t="s">
        <v>60</v>
      </c>
      <c r="B17" s="25" t="s">
        <v>62</v>
      </c>
      <c r="C17" s="7"/>
      <c r="D17" s="26">
        <v>2037.0</v>
      </c>
      <c r="E17" s="11"/>
      <c r="F17" s="26">
        <v>1963.0</v>
      </c>
      <c r="G17" s="11"/>
      <c r="H17" s="26">
        <v>4000.0</v>
      </c>
      <c r="I17" s="11"/>
    </row>
    <row r="18" ht="15.0" customHeight="1">
      <c r="A18" s="24" t="s">
        <v>65</v>
      </c>
      <c r="B18" s="25" t="s">
        <v>66</v>
      </c>
      <c r="C18" s="7"/>
      <c r="D18" s="26">
        <v>5731.0</v>
      </c>
      <c r="E18" s="11"/>
      <c r="F18" s="26">
        <v>5680.0</v>
      </c>
      <c r="G18" s="11"/>
      <c r="H18" s="26">
        <v>11411.0</v>
      </c>
      <c r="I18" s="11"/>
    </row>
    <row r="19" ht="15.0" customHeight="1">
      <c r="A19" s="24" t="s">
        <v>71</v>
      </c>
      <c r="B19" s="25" t="s">
        <v>72</v>
      </c>
      <c r="C19" s="7"/>
      <c r="D19" s="26">
        <v>5714.0</v>
      </c>
      <c r="E19" s="11"/>
      <c r="F19" s="26">
        <v>5719.0</v>
      </c>
      <c r="G19" s="11"/>
      <c r="H19" s="26">
        <v>11433.0</v>
      </c>
      <c r="I19" s="11"/>
    </row>
    <row r="20" ht="15.0" customHeight="1">
      <c r="A20" s="24" t="s">
        <v>74</v>
      </c>
      <c r="B20" s="25" t="s">
        <v>75</v>
      </c>
      <c r="C20" s="7"/>
      <c r="D20" s="26">
        <v>1302.0</v>
      </c>
      <c r="E20" s="11"/>
      <c r="F20" s="26">
        <v>1327.0</v>
      </c>
      <c r="G20" s="11"/>
      <c r="H20" s="26">
        <v>2629.0</v>
      </c>
      <c r="I20" s="11"/>
    </row>
    <row r="21" ht="15.0" customHeight="1">
      <c r="A21" s="24" t="s">
        <v>77</v>
      </c>
      <c r="B21" s="25" t="s">
        <v>78</v>
      </c>
      <c r="C21" s="7"/>
      <c r="D21" s="26">
        <v>1860.0</v>
      </c>
      <c r="E21" s="11"/>
      <c r="F21" s="26">
        <v>1869.0</v>
      </c>
      <c r="G21" s="11"/>
      <c r="H21" s="26">
        <v>3729.0</v>
      </c>
      <c r="I21" s="11"/>
    </row>
    <row r="22" ht="15.0" customHeight="1">
      <c r="A22" s="24" t="s">
        <v>79</v>
      </c>
      <c r="B22" s="25" t="s">
        <v>80</v>
      </c>
      <c r="C22" s="7"/>
      <c r="D22" s="26">
        <v>4321.0</v>
      </c>
      <c r="E22" s="11"/>
      <c r="F22" s="26">
        <v>4211.0</v>
      </c>
      <c r="G22" s="11"/>
      <c r="H22" s="26">
        <v>8532.0</v>
      </c>
      <c r="I22" s="11"/>
    </row>
    <row r="23" ht="15.75" customHeight="1">
      <c r="A23" s="24" t="s">
        <v>81</v>
      </c>
      <c r="B23" s="25" t="s">
        <v>82</v>
      </c>
      <c r="C23" s="7"/>
      <c r="D23" s="26">
        <v>5819.0</v>
      </c>
      <c r="E23" s="11"/>
      <c r="F23" s="26">
        <v>5733.0</v>
      </c>
      <c r="G23" s="11"/>
      <c r="H23" s="26">
        <v>11552.0</v>
      </c>
      <c r="I23" s="11"/>
    </row>
    <row r="24" ht="15.0" customHeight="1">
      <c r="A24" s="24" t="s">
        <v>83</v>
      </c>
      <c r="B24" s="25" t="s">
        <v>84</v>
      </c>
      <c r="C24" s="7"/>
      <c r="D24" s="26">
        <v>2008.0</v>
      </c>
      <c r="E24" s="11"/>
      <c r="F24" s="26">
        <v>1990.0</v>
      </c>
      <c r="G24" s="11"/>
      <c r="H24" s="26">
        <v>3998.0</v>
      </c>
      <c r="I24" s="11"/>
    </row>
    <row r="25" ht="15.0" customHeight="1">
      <c r="A25" s="15" t="s">
        <v>85</v>
      </c>
      <c r="B25" s="6"/>
      <c r="C25" s="7"/>
      <c r="D25" s="32">
        <f>sum(D10:E24)</f>
        <v>42248</v>
      </c>
      <c r="E25" s="7"/>
      <c r="F25" s="32">
        <f>sum(F10:G24)</f>
        <v>41677</v>
      </c>
      <c r="G25" s="7"/>
      <c r="H25" s="32">
        <f>sum(H10:I24)</f>
        <v>83925</v>
      </c>
      <c r="I25" s="7"/>
    </row>
    <row r="26" ht="29.25" customHeight="1"/>
    <row r="27" ht="15.75" customHeight="1"/>
    <row r="28" ht="15.0" customHeight="1"/>
    <row r="29" ht="15.0" customHeight="1"/>
    <row r="30" ht="15.0" customHeight="1">
      <c r="A30" s="17" t="s">
        <v>89</v>
      </c>
      <c r="B30" s="18"/>
      <c r="C30" s="4"/>
      <c r="D30" s="17" t="s">
        <v>90</v>
      </c>
      <c r="E30" s="18"/>
      <c r="F30" s="4"/>
      <c r="G30" s="17" t="s">
        <v>94</v>
      </c>
      <c r="H30" s="18"/>
      <c r="I30" s="4"/>
      <c r="J30" s="17" t="s">
        <v>95</v>
      </c>
      <c r="K30" s="18"/>
      <c r="L30" s="4"/>
    </row>
    <row r="31" ht="15.0" customHeight="1">
      <c r="A31" s="8"/>
      <c r="C31" s="9"/>
      <c r="D31" s="8"/>
      <c r="F31" s="9"/>
      <c r="G31" s="8"/>
      <c r="I31" s="9"/>
      <c r="J31" s="8"/>
      <c r="L31" s="9"/>
    </row>
    <row r="32" ht="15.0" customHeight="1">
      <c r="A32" s="10"/>
      <c r="B32" s="16"/>
      <c r="C32" s="11"/>
      <c r="D32" s="10"/>
      <c r="E32" s="16"/>
      <c r="F32" s="11"/>
      <c r="G32" s="10"/>
      <c r="H32" s="16"/>
      <c r="I32" s="11"/>
      <c r="J32" s="10"/>
      <c r="K32" s="16"/>
      <c r="L32" s="11"/>
    </row>
    <row r="33" ht="15.75" customHeight="1">
      <c r="A33" s="21" t="s">
        <v>11</v>
      </c>
      <c r="B33" s="6"/>
      <c r="C33" s="7"/>
      <c r="D33" s="21" t="s">
        <v>29</v>
      </c>
      <c r="E33" s="6"/>
      <c r="F33" s="7"/>
      <c r="G33" s="21" t="s">
        <v>30</v>
      </c>
      <c r="H33" s="6"/>
      <c r="I33" s="7"/>
      <c r="J33" s="21" t="s">
        <v>32</v>
      </c>
      <c r="K33" s="6"/>
      <c r="L33" s="7"/>
    </row>
    <row r="34" ht="15.0" customHeight="1">
      <c r="A34" s="24" t="s">
        <v>31</v>
      </c>
      <c r="B34" s="25" t="s">
        <v>35</v>
      </c>
      <c r="C34" s="7"/>
      <c r="D34" s="34">
        <f t="shared" ref="D34:D49" si="1">H10/$H$24</f>
        <v>1.048524262</v>
      </c>
      <c r="E34" s="6"/>
      <c r="F34" s="7"/>
      <c r="G34" s="15"/>
      <c r="H34" s="6"/>
      <c r="I34" s="7"/>
      <c r="J34" s="15">
        <f t="shared" ref="J34:J49" si="2">D10/F10*100</f>
        <v>100.2866699</v>
      </c>
      <c r="K34" s="6"/>
      <c r="L34" s="7"/>
    </row>
    <row r="35" ht="15.0" customHeight="1">
      <c r="A35" s="24" t="s">
        <v>37</v>
      </c>
      <c r="B35" s="25" t="s">
        <v>38</v>
      </c>
      <c r="C35" s="7"/>
      <c r="D35" s="34">
        <f t="shared" si="1"/>
        <v>0.4512256128</v>
      </c>
      <c r="E35" s="6"/>
      <c r="F35" s="7"/>
      <c r="G35" s="15"/>
      <c r="H35" s="6"/>
      <c r="I35" s="7"/>
      <c r="J35" s="15">
        <f t="shared" si="2"/>
        <v>106.6437572</v>
      </c>
      <c r="K35" s="6"/>
      <c r="L35" s="7"/>
    </row>
    <row r="36" ht="15.0" customHeight="1">
      <c r="A36" s="24" t="s">
        <v>40</v>
      </c>
      <c r="B36" s="25" t="s">
        <v>41</v>
      </c>
      <c r="C36" s="7"/>
      <c r="D36" s="34">
        <f t="shared" si="1"/>
        <v>0.6673336668</v>
      </c>
      <c r="E36" s="6"/>
      <c r="F36" s="7"/>
      <c r="G36" s="15"/>
      <c r="H36" s="6"/>
      <c r="I36" s="7"/>
      <c r="J36" s="15">
        <f t="shared" si="2"/>
        <v>102.2744503</v>
      </c>
      <c r="K36" s="6"/>
      <c r="L36" s="7"/>
    </row>
    <row r="37" ht="15.0" customHeight="1">
      <c r="A37" s="24" t="s">
        <v>44</v>
      </c>
      <c r="B37" s="25" t="s">
        <v>45</v>
      </c>
      <c r="C37" s="7"/>
      <c r="D37" s="34">
        <f t="shared" si="1"/>
        <v>0.8331665833</v>
      </c>
      <c r="E37" s="6"/>
      <c r="F37" s="7"/>
      <c r="G37" s="15"/>
      <c r="H37" s="6"/>
      <c r="I37" s="7"/>
      <c r="J37" s="15">
        <f t="shared" si="2"/>
        <v>102.2465088</v>
      </c>
      <c r="K37" s="6"/>
      <c r="L37" s="7"/>
    </row>
    <row r="38" ht="15.0" customHeight="1">
      <c r="A38" s="24" t="s">
        <v>47</v>
      </c>
      <c r="B38" s="25" t="s">
        <v>48</v>
      </c>
      <c r="C38" s="7"/>
      <c r="D38" s="34">
        <f t="shared" si="1"/>
        <v>0.872186093</v>
      </c>
      <c r="E38" s="6"/>
      <c r="F38" s="7"/>
      <c r="G38" s="15"/>
      <c r="H38" s="6"/>
      <c r="I38" s="7"/>
      <c r="J38" s="15">
        <f t="shared" si="2"/>
        <v>105.6014151</v>
      </c>
      <c r="K38" s="6"/>
      <c r="L38" s="7"/>
    </row>
    <row r="39" ht="15.0" customHeight="1">
      <c r="A39" s="24" t="s">
        <v>51</v>
      </c>
      <c r="B39" s="25" t="s">
        <v>52</v>
      </c>
      <c r="C39" s="7"/>
      <c r="D39" s="34">
        <f t="shared" si="1"/>
        <v>2.327663832</v>
      </c>
      <c r="E39" s="6"/>
      <c r="F39" s="7"/>
      <c r="G39" s="15"/>
      <c r="H39" s="6"/>
      <c r="I39" s="7"/>
      <c r="J39" s="15">
        <f t="shared" si="2"/>
        <v>100.6468305</v>
      </c>
      <c r="K39" s="6"/>
      <c r="L39" s="7"/>
    </row>
    <row r="40" ht="15.0" customHeight="1">
      <c r="A40" s="24" t="s">
        <v>55</v>
      </c>
      <c r="B40" s="25" t="s">
        <v>56</v>
      </c>
      <c r="C40" s="7"/>
      <c r="D40" s="34">
        <f t="shared" si="1"/>
        <v>0.4634817409</v>
      </c>
      <c r="E40" s="6"/>
      <c r="F40" s="7"/>
      <c r="G40" s="15"/>
      <c r="H40" s="6"/>
      <c r="I40" s="7"/>
      <c r="J40" s="15">
        <f t="shared" si="2"/>
        <v>101.6322089</v>
      </c>
      <c r="K40" s="6"/>
      <c r="L40" s="7"/>
    </row>
    <row r="41" ht="15.75" customHeight="1">
      <c r="A41" s="24" t="s">
        <v>60</v>
      </c>
      <c r="B41" s="25" t="s">
        <v>62</v>
      </c>
      <c r="C41" s="7"/>
      <c r="D41" s="34">
        <f t="shared" si="1"/>
        <v>1.00050025</v>
      </c>
      <c r="E41" s="6"/>
      <c r="F41" s="7"/>
      <c r="G41" s="15"/>
      <c r="H41" s="6"/>
      <c r="I41" s="7"/>
      <c r="J41" s="15">
        <f t="shared" si="2"/>
        <v>103.7697402</v>
      </c>
      <c r="K41" s="6"/>
      <c r="L41" s="7"/>
    </row>
    <row r="42" ht="15.0" customHeight="1">
      <c r="A42" s="24" t="s">
        <v>65</v>
      </c>
      <c r="B42" s="25" t="s">
        <v>66</v>
      </c>
      <c r="C42" s="7"/>
      <c r="D42" s="34">
        <f t="shared" si="1"/>
        <v>2.854177089</v>
      </c>
      <c r="E42" s="6"/>
      <c r="F42" s="7"/>
      <c r="G42" s="15"/>
      <c r="H42" s="6"/>
      <c r="I42" s="7"/>
      <c r="J42" s="15">
        <f t="shared" si="2"/>
        <v>100.8978873</v>
      </c>
      <c r="K42" s="6"/>
      <c r="L42" s="7"/>
    </row>
    <row r="43" ht="15.0" customHeight="1">
      <c r="A43" s="24" t="s">
        <v>71</v>
      </c>
      <c r="B43" s="25" t="s">
        <v>72</v>
      </c>
      <c r="C43" s="7"/>
      <c r="D43" s="34">
        <f t="shared" si="1"/>
        <v>2.85967984</v>
      </c>
      <c r="E43" s="6"/>
      <c r="F43" s="7"/>
      <c r="G43" s="15"/>
      <c r="H43" s="6"/>
      <c r="I43" s="7"/>
      <c r="J43" s="15">
        <f t="shared" si="2"/>
        <v>99.91257213</v>
      </c>
      <c r="K43" s="6"/>
      <c r="L43" s="7"/>
    </row>
    <row r="44" ht="15.0" customHeight="1">
      <c r="A44" s="24" t="s">
        <v>74</v>
      </c>
      <c r="B44" s="25" t="s">
        <v>75</v>
      </c>
      <c r="C44" s="7"/>
      <c r="D44" s="34">
        <f t="shared" si="1"/>
        <v>0.6575787894</v>
      </c>
      <c r="E44" s="6"/>
      <c r="F44" s="7"/>
      <c r="G44" s="15"/>
      <c r="H44" s="6"/>
      <c r="I44" s="7"/>
      <c r="J44" s="15">
        <f t="shared" si="2"/>
        <v>98.11605124</v>
      </c>
      <c r="K44" s="6"/>
      <c r="L44" s="7"/>
    </row>
    <row r="45" ht="15.0" customHeight="1">
      <c r="A45" s="24" t="s">
        <v>77</v>
      </c>
      <c r="B45" s="25" t="s">
        <v>78</v>
      </c>
      <c r="C45" s="7"/>
      <c r="D45" s="34">
        <f t="shared" si="1"/>
        <v>0.9327163582</v>
      </c>
      <c r="E45" s="6"/>
      <c r="F45" s="7"/>
      <c r="G45" s="15"/>
      <c r="H45" s="6"/>
      <c r="I45" s="7"/>
      <c r="J45" s="15">
        <f t="shared" si="2"/>
        <v>99.51845907</v>
      </c>
      <c r="K45" s="6"/>
      <c r="L45" s="7"/>
    </row>
    <row r="46" ht="15.0" customHeight="1">
      <c r="A46" s="24" t="s">
        <v>79</v>
      </c>
      <c r="B46" s="25" t="s">
        <v>80</v>
      </c>
      <c r="C46" s="7"/>
      <c r="D46" s="34">
        <f t="shared" si="1"/>
        <v>2.134067034</v>
      </c>
      <c r="E46" s="6"/>
      <c r="F46" s="7"/>
      <c r="G46" s="15"/>
      <c r="H46" s="6"/>
      <c r="I46" s="7"/>
      <c r="J46" s="15">
        <f t="shared" si="2"/>
        <v>102.6122061</v>
      </c>
      <c r="K46" s="6"/>
      <c r="L46" s="7"/>
    </row>
    <row r="47" ht="15.75" customHeight="1">
      <c r="A47" s="24" t="s">
        <v>81</v>
      </c>
      <c r="B47" s="25" t="s">
        <v>82</v>
      </c>
      <c r="C47" s="7"/>
      <c r="D47" s="34">
        <f t="shared" si="1"/>
        <v>2.889444722</v>
      </c>
      <c r="E47" s="6"/>
      <c r="F47" s="7"/>
      <c r="G47" s="15"/>
      <c r="H47" s="6"/>
      <c r="I47" s="7"/>
      <c r="J47" s="15">
        <f t="shared" si="2"/>
        <v>101.5000872</v>
      </c>
      <c r="K47" s="6"/>
      <c r="L47" s="7"/>
    </row>
    <row r="48" ht="15.75" customHeight="1">
      <c r="A48" s="24" t="s">
        <v>83</v>
      </c>
      <c r="B48" s="25" t="s">
        <v>84</v>
      </c>
      <c r="C48" s="7"/>
      <c r="D48" s="34">
        <f t="shared" si="1"/>
        <v>1</v>
      </c>
      <c r="E48" s="6"/>
      <c r="F48" s="7"/>
      <c r="G48" s="15"/>
      <c r="H48" s="6"/>
      <c r="I48" s="7"/>
      <c r="J48" s="15">
        <f t="shared" si="2"/>
        <v>100.9045226</v>
      </c>
      <c r="K48" s="6"/>
      <c r="L48" s="7"/>
    </row>
    <row r="49" ht="15.75" customHeight="1">
      <c r="A49" s="15" t="s">
        <v>109</v>
      </c>
      <c r="B49" s="6"/>
      <c r="C49" s="7"/>
      <c r="D49" s="34">
        <f t="shared" si="1"/>
        <v>20.99174587</v>
      </c>
      <c r="E49" s="6"/>
      <c r="F49" s="7"/>
      <c r="G49" s="15"/>
      <c r="H49" s="6"/>
      <c r="I49" s="7"/>
      <c r="J49" s="15">
        <f t="shared" si="2"/>
        <v>101.3700602</v>
      </c>
      <c r="K49" s="6"/>
      <c r="L49" s="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6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  <mergeCell ref="A30:C32"/>
    <mergeCell ref="D30:F32"/>
    <mergeCell ref="G30:I32"/>
    <mergeCell ref="J30:L32"/>
    <mergeCell ref="D33:F33"/>
    <mergeCell ref="G33:I33"/>
    <mergeCell ref="J33:L33"/>
    <mergeCell ref="A33:C33"/>
    <mergeCell ref="B34:C34"/>
    <mergeCell ref="D34:F34"/>
    <mergeCell ref="G34:I34"/>
    <mergeCell ref="J34:L34"/>
    <mergeCell ref="B35:C35"/>
    <mergeCell ref="D35:F35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B22:C22"/>
    <mergeCell ref="D22:E22"/>
    <mergeCell ref="F22:G22"/>
    <mergeCell ref="H22:I22"/>
    <mergeCell ref="D23:E23"/>
    <mergeCell ref="F23:G23"/>
    <mergeCell ref="H23:I23"/>
    <mergeCell ref="F25:G25"/>
    <mergeCell ref="H25:I25"/>
    <mergeCell ref="B23:C23"/>
    <mergeCell ref="B24:C24"/>
    <mergeCell ref="D24:E24"/>
    <mergeCell ref="F24:G24"/>
    <mergeCell ref="H24:I24"/>
    <mergeCell ref="A25:C25"/>
    <mergeCell ref="D25:E25"/>
    <mergeCell ref="G35:I35"/>
    <mergeCell ref="J35:L35"/>
    <mergeCell ref="G39:I39"/>
    <mergeCell ref="J39:L39"/>
    <mergeCell ref="B44:C44"/>
    <mergeCell ref="D44:F44"/>
    <mergeCell ref="G44:I44"/>
    <mergeCell ref="J44:L44"/>
    <mergeCell ref="D45:F45"/>
    <mergeCell ref="G45:I45"/>
    <mergeCell ref="J45:L45"/>
    <mergeCell ref="B45:C45"/>
    <mergeCell ref="B46:C46"/>
    <mergeCell ref="D46:F46"/>
    <mergeCell ref="G46:I46"/>
    <mergeCell ref="J46:L46"/>
    <mergeCell ref="B47:C47"/>
    <mergeCell ref="D47:F47"/>
    <mergeCell ref="B36:C36"/>
    <mergeCell ref="D36:F36"/>
    <mergeCell ref="G36:I36"/>
    <mergeCell ref="J36:L36"/>
    <mergeCell ref="D37:F37"/>
    <mergeCell ref="G37:I37"/>
    <mergeCell ref="J37:L37"/>
    <mergeCell ref="B37:C37"/>
    <mergeCell ref="B38:C38"/>
    <mergeCell ref="D38:F38"/>
    <mergeCell ref="G38:I38"/>
    <mergeCell ref="J38:L38"/>
    <mergeCell ref="B39:C39"/>
    <mergeCell ref="D39:F39"/>
    <mergeCell ref="B40:C40"/>
    <mergeCell ref="D40:F40"/>
    <mergeCell ref="G40:I40"/>
    <mergeCell ref="J40:L40"/>
    <mergeCell ref="D41:F41"/>
    <mergeCell ref="G41:I41"/>
    <mergeCell ref="J41:L41"/>
    <mergeCell ref="G43:I43"/>
    <mergeCell ref="J43:L43"/>
    <mergeCell ref="B41:C41"/>
    <mergeCell ref="B42:C42"/>
    <mergeCell ref="D42:F42"/>
    <mergeCell ref="G42:I42"/>
    <mergeCell ref="J42:L42"/>
    <mergeCell ref="B43:C43"/>
    <mergeCell ref="D43:F43"/>
    <mergeCell ref="G47:I47"/>
    <mergeCell ref="J47:L47"/>
    <mergeCell ref="B48:C48"/>
    <mergeCell ref="D48:F48"/>
    <mergeCell ref="G48:I48"/>
    <mergeCell ref="J48:L48"/>
    <mergeCell ref="A49:C49"/>
    <mergeCell ref="D49:F49"/>
    <mergeCell ref="G49:I49"/>
    <mergeCell ref="J49:L4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0</v>
      </c>
      <c r="B1" s="2" t="s">
        <v>1</v>
      </c>
    </row>
    <row r="5">
      <c r="A5" s="3" t="s">
        <v>2</v>
      </c>
      <c r="B5" s="4"/>
      <c r="C5" s="5" t="s">
        <v>3</v>
      </c>
      <c r="D5" s="6"/>
      <c r="E5" s="6"/>
      <c r="F5" s="6"/>
      <c r="G5" s="6"/>
      <c r="H5" s="7"/>
    </row>
    <row r="6">
      <c r="A6" s="8"/>
      <c r="B6" s="9"/>
      <c r="C6" s="3" t="s">
        <v>4</v>
      </c>
      <c r="D6" s="4"/>
      <c r="E6" s="3" t="s">
        <v>5</v>
      </c>
      <c r="F6" s="4"/>
      <c r="G6" s="3" t="s">
        <v>6</v>
      </c>
      <c r="H6" s="4"/>
    </row>
    <row r="7">
      <c r="A7" s="10"/>
      <c r="B7" s="11"/>
      <c r="C7" s="10"/>
      <c r="D7" s="11"/>
      <c r="E7" s="10"/>
      <c r="F7" s="11"/>
      <c r="G7" s="10"/>
      <c r="H7" s="11"/>
    </row>
    <row r="8">
      <c r="A8" s="12" t="s">
        <v>11</v>
      </c>
      <c r="B8" s="7"/>
      <c r="C8" s="12" t="s">
        <v>12</v>
      </c>
      <c r="D8" s="7"/>
      <c r="E8" s="12" t="s">
        <v>13</v>
      </c>
      <c r="F8" s="7"/>
      <c r="G8" s="12" t="s">
        <v>14</v>
      </c>
      <c r="H8" s="7"/>
    </row>
    <row r="9">
      <c r="A9" s="12" t="s">
        <v>15</v>
      </c>
      <c r="B9" s="7"/>
      <c r="C9" s="15">
        <v>3113.0</v>
      </c>
      <c r="D9" s="7"/>
      <c r="E9" s="15">
        <v>2859.0</v>
      </c>
      <c r="F9" s="7"/>
      <c r="G9" s="15">
        <f t="shared" ref="G9:G24" si="1">sum(C9:F9)</f>
        <v>5972</v>
      </c>
      <c r="H9" s="7"/>
    </row>
    <row r="10">
      <c r="A10" s="20" t="s">
        <v>24</v>
      </c>
      <c r="B10" s="7"/>
      <c r="C10" s="15">
        <v>3692.0</v>
      </c>
      <c r="D10" s="7"/>
      <c r="E10" s="15">
        <v>3470.0</v>
      </c>
      <c r="F10" s="7"/>
      <c r="G10" s="15">
        <f t="shared" si="1"/>
        <v>7162</v>
      </c>
      <c r="H10" s="7"/>
    </row>
    <row r="11">
      <c r="A11" s="12" t="s">
        <v>28</v>
      </c>
      <c r="B11" s="7"/>
      <c r="C11" s="15">
        <v>3693.0</v>
      </c>
      <c r="D11" s="7"/>
      <c r="E11" s="15">
        <v>3461.0</v>
      </c>
      <c r="F11" s="7"/>
      <c r="G11" s="15">
        <f t="shared" si="1"/>
        <v>7154</v>
      </c>
      <c r="H11" s="7"/>
    </row>
    <row r="12">
      <c r="A12" s="12" t="s">
        <v>33</v>
      </c>
      <c r="B12" s="7"/>
      <c r="C12" s="15">
        <v>3203.0</v>
      </c>
      <c r="D12" s="7"/>
      <c r="E12" s="15">
        <v>3043.0</v>
      </c>
      <c r="F12" s="7"/>
      <c r="G12" s="15">
        <f t="shared" si="1"/>
        <v>6246</v>
      </c>
      <c r="H12" s="7"/>
    </row>
    <row r="13">
      <c r="A13" s="12" t="s">
        <v>36</v>
      </c>
      <c r="B13" s="7"/>
      <c r="C13" s="15">
        <v>2975.0</v>
      </c>
      <c r="D13" s="7"/>
      <c r="E13" s="15">
        <v>2951.0</v>
      </c>
      <c r="F13" s="7"/>
      <c r="G13" s="15">
        <f t="shared" si="1"/>
        <v>5926</v>
      </c>
      <c r="H13" s="7"/>
    </row>
    <row r="14">
      <c r="A14" s="15" t="s">
        <v>39</v>
      </c>
      <c r="B14" s="7"/>
      <c r="C14" s="15">
        <v>3221.0</v>
      </c>
      <c r="D14" s="7"/>
      <c r="E14" s="15">
        <v>3153.0</v>
      </c>
      <c r="F14" s="7"/>
      <c r="G14" s="15">
        <f t="shared" si="1"/>
        <v>6374</v>
      </c>
      <c r="H14" s="7"/>
    </row>
    <row r="15">
      <c r="A15" s="15" t="s">
        <v>42</v>
      </c>
      <c r="B15" s="7"/>
      <c r="C15" s="15">
        <v>3392.0</v>
      </c>
      <c r="D15" s="7"/>
      <c r="E15" s="15">
        <v>3214.0</v>
      </c>
      <c r="F15" s="7"/>
      <c r="G15" s="15">
        <f t="shared" si="1"/>
        <v>6606</v>
      </c>
      <c r="H15" s="7"/>
    </row>
    <row r="16">
      <c r="A16" s="15" t="s">
        <v>43</v>
      </c>
      <c r="B16" s="7"/>
      <c r="C16" s="15">
        <v>3235.0</v>
      </c>
      <c r="D16" s="7"/>
      <c r="E16" s="15">
        <v>3124.0</v>
      </c>
      <c r="F16" s="7"/>
      <c r="G16" s="15">
        <f t="shared" si="1"/>
        <v>6359</v>
      </c>
      <c r="H16" s="7"/>
    </row>
    <row r="17">
      <c r="A17" s="15" t="s">
        <v>46</v>
      </c>
      <c r="B17" s="7"/>
      <c r="C17" s="15">
        <v>3603.0</v>
      </c>
      <c r="D17" s="7"/>
      <c r="E17" s="15">
        <v>3394.0</v>
      </c>
      <c r="F17" s="7"/>
      <c r="G17" s="15">
        <f t="shared" si="1"/>
        <v>6997</v>
      </c>
      <c r="H17" s="7"/>
    </row>
    <row r="18">
      <c r="A18" s="15" t="s">
        <v>49</v>
      </c>
      <c r="B18" s="7"/>
      <c r="C18" s="15">
        <v>3035.0</v>
      </c>
      <c r="D18" s="7"/>
      <c r="E18" s="15">
        <v>2852.0</v>
      </c>
      <c r="F18" s="7"/>
      <c r="G18" s="15">
        <f t="shared" si="1"/>
        <v>5887</v>
      </c>
      <c r="H18" s="7"/>
    </row>
    <row r="19">
      <c r="A19" s="15" t="s">
        <v>54</v>
      </c>
      <c r="B19" s="7"/>
      <c r="C19" s="15">
        <v>2484.0</v>
      </c>
      <c r="D19" s="7"/>
      <c r="E19" s="15">
        <v>2529.0</v>
      </c>
      <c r="F19" s="7"/>
      <c r="G19" s="15">
        <f t="shared" si="1"/>
        <v>5013</v>
      </c>
      <c r="H19" s="7"/>
    </row>
    <row r="20">
      <c r="A20" s="15" t="s">
        <v>58</v>
      </c>
      <c r="B20" s="7"/>
      <c r="C20" s="15">
        <v>2125.0</v>
      </c>
      <c r="D20" s="7"/>
      <c r="E20" s="15">
        <v>2226.0</v>
      </c>
      <c r="F20" s="7"/>
      <c r="G20" s="15">
        <f t="shared" si="1"/>
        <v>4351</v>
      </c>
      <c r="H20" s="7"/>
    </row>
    <row r="21" ht="15.75" customHeight="1">
      <c r="A21" s="15" t="s">
        <v>61</v>
      </c>
      <c r="B21" s="7"/>
      <c r="C21" s="15">
        <v>1642.0</v>
      </c>
      <c r="D21" s="7"/>
      <c r="E21" s="15">
        <v>1758.0</v>
      </c>
      <c r="F21" s="7"/>
      <c r="G21" s="15">
        <f t="shared" si="1"/>
        <v>3400</v>
      </c>
      <c r="H21" s="7"/>
    </row>
    <row r="22" ht="15.75" customHeight="1">
      <c r="A22" s="15" t="s">
        <v>63</v>
      </c>
      <c r="B22" s="7"/>
      <c r="C22" s="15">
        <v>1238.0</v>
      </c>
      <c r="D22" s="7"/>
      <c r="E22" s="15">
        <v>1401.0</v>
      </c>
      <c r="F22" s="7"/>
      <c r="G22" s="15">
        <f t="shared" si="1"/>
        <v>2639</v>
      </c>
      <c r="H22" s="7"/>
    </row>
    <row r="23" ht="15.75" customHeight="1">
      <c r="A23" s="15" t="s">
        <v>69</v>
      </c>
      <c r="B23" s="7"/>
      <c r="C23" s="15">
        <v>772.0</v>
      </c>
      <c r="D23" s="7"/>
      <c r="E23" s="15">
        <v>891.0</v>
      </c>
      <c r="F23" s="7"/>
      <c r="G23" s="15">
        <f t="shared" si="1"/>
        <v>1663</v>
      </c>
      <c r="H23" s="7"/>
    </row>
    <row r="24" ht="15.75" customHeight="1">
      <c r="A24" s="15" t="s">
        <v>73</v>
      </c>
      <c r="B24" s="7"/>
      <c r="C24" s="15">
        <v>825.0</v>
      </c>
      <c r="D24" s="7"/>
      <c r="E24" s="15">
        <v>1351.0</v>
      </c>
      <c r="F24" s="7"/>
      <c r="G24" s="15">
        <f t="shared" si="1"/>
        <v>2176</v>
      </c>
      <c r="H24" s="7"/>
    </row>
    <row r="25" ht="15.75" customHeight="1">
      <c r="A25" s="15" t="s">
        <v>76</v>
      </c>
      <c r="B25" s="7"/>
      <c r="C25" s="15">
        <f>sum(C9:D24)</f>
        <v>42248</v>
      </c>
      <c r="D25" s="7"/>
      <c r="E25" s="15">
        <f>sum(E9:F24)</f>
        <v>41677</v>
      </c>
      <c r="F25" s="7"/>
      <c r="G25" s="15">
        <f>sum(G9:H24)</f>
        <v>83925</v>
      </c>
      <c r="H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A12:B12"/>
    <mergeCell ref="A13:B13"/>
    <mergeCell ref="C13:D13"/>
    <mergeCell ref="E13:F13"/>
    <mergeCell ref="G13:H13"/>
    <mergeCell ref="A14:B14"/>
    <mergeCell ref="C14:D14"/>
    <mergeCell ref="A15:B15"/>
    <mergeCell ref="C15:D15"/>
    <mergeCell ref="E15:F15"/>
    <mergeCell ref="G15:H15"/>
    <mergeCell ref="C16:D16"/>
    <mergeCell ref="E16:F16"/>
    <mergeCell ref="G16:H16"/>
    <mergeCell ref="E18:F18"/>
    <mergeCell ref="G18:H18"/>
    <mergeCell ref="A16:B16"/>
    <mergeCell ref="A17:B17"/>
    <mergeCell ref="C17:D17"/>
    <mergeCell ref="E17:F17"/>
    <mergeCell ref="G17:H17"/>
    <mergeCell ref="A18:B18"/>
    <mergeCell ref="C18:D18"/>
    <mergeCell ref="A19:B19"/>
    <mergeCell ref="C19:D19"/>
    <mergeCell ref="E19:F19"/>
    <mergeCell ref="G19:H19"/>
    <mergeCell ref="C20:D20"/>
    <mergeCell ref="E20:F20"/>
    <mergeCell ref="G20:H20"/>
    <mergeCell ref="A20:B20"/>
    <mergeCell ref="A21:B21"/>
    <mergeCell ref="C21:D21"/>
    <mergeCell ref="E21:F21"/>
    <mergeCell ref="G21:H21"/>
    <mergeCell ref="A22:B22"/>
    <mergeCell ref="C22:D22"/>
    <mergeCell ref="C24:D24"/>
    <mergeCell ref="E24:F24"/>
    <mergeCell ref="I25:J25"/>
    <mergeCell ref="E22:F22"/>
    <mergeCell ref="G22:H22"/>
    <mergeCell ref="A23:B23"/>
    <mergeCell ref="C23:D23"/>
    <mergeCell ref="E23:F23"/>
    <mergeCell ref="G23:H23"/>
    <mergeCell ref="G24:H24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E10:F10"/>
    <mergeCell ref="G10:H10"/>
    <mergeCell ref="A8:B8"/>
    <mergeCell ref="A9:B9"/>
    <mergeCell ref="C9:D9"/>
    <mergeCell ref="E9:F9"/>
    <mergeCell ref="G9:H9"/>
    <mergeCell ref="A10:B10"/>
    <mergeCell ref="C10:D10"/>
    <mergeCell ref="A11:B11"/>
    <mergeCell ref="C11:D11"/>
    <mergeCell ref="E11:F11"/>
    <mergeCell ref="G11:H11"/>
    <mergeCell ref="C12:D12"/>
    <mergeCell ref="E12:F12"/>
    <mergeCell ref="G12:H12"/>
    <mergeCell ref="E14:F14"/>
    <mergeCell ref="G14:H14"/>
    <mergeCell ref="A24:B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50</v>
      </c>
      <c r="B1" s="14" t="s">
        <v>53</v>
      </c>
    </row>
    <row r="4">
      <c r="B4" s="16"/>
      <c r="C4" s="16"/>
      <c r="D4" s="16"/>
      <c r="E4" s="16"/>
      <c r="F4" s="16"/>
      <c r="G4" s="16"/>
      <c r="H4" s="16"/>
      <c r="I4" s="16"/>
      <c r="J4" s="16"/>
      <c r="K4" s="16"/>
    </row>
    <row r="5">
      <c r="A5" s="17" t="s">
        <v>57</v>
      </c>
      <c r="B5" s="18"/>
      <c r="C5" s="4"/>
      <c r="D5" s="19" t="s">
        <v>59</v>
      </c>
      <c r="E5" s="6"/>
      <c r="F5" s="6"/>
      <c r="G5" s="6"/>
      <c r="H5" s="6"/>
      <c r="I5" s="6"/>
      <c r="J5" s="6"/>
      <c r="K5" s="7"/>
    </row>
    <row r="6" ht="15.0" customHeight="1">
      <c r="A6" s="8"/>
      <c r="C6" s="9"/>
      <c r="D6" s="19" t="s">
        <v>15</v>
      </c>
      <c r="E6" s="6"/>
      <c r="F6" s="6"/>
      <c r="G6" s="7"/>
      <c r="H6" s="22" t="s">
        <v>24</v>
      </c>
      <c r="I6" s="6"/>
      <c r="J6" s="6"/>
      <c r="K6" s="7"/>
    </row>
    <row r="7">
      <c r="A7" s="8"/>
      <c r="C7" s="9"/>
      <c r="D7" s="3" t="s">
        <v>64</v>
      </c>
      <c r="E7" s="4"/>
      <c r="F7" s="3" t="s">
        <v>67</v>
      </c>
      <c r="G7" s="4"/>
      <c r="H7" s="3" t="s">
        <v>68</v>
      </c>
      <c r="I7" s="4"/>
      <c r="J7" s="3" t="s">
        <v>70</v>
      </c>
      <c r="K7" s="4"/>
    </row>
    <row r="8">
      <c r="A8" s="10"/>
      <c r="B8" s="16"/>
      <c r="C8" s="11"/>
      <c r="D8" s="10"/>
      <c r="E8" s="11"/>
      <c r="F8" s="10"/>
      <c r="G8" s="11"/>
      <c r="H8" s="10"/>
      <c r="I8" s="11"/>
      <c r="J8" s="10"/>
      <c r="K8" s="11"/>
    </row>
    <row r="9">
      <c r="A9" s="21" t="s">
        <v>11</v>
      </c>
      <c r="B9" s="6"/>
      <c r="C9" s="7"/>
      <c r="D9" s="23" t="s">
        <v>12</v>
      </c>
      <c r="E9" s="7"/>
      <c r="F9" s="23" t="s">
        <v>13</v>
      </c>
      <c r="G9" s="7"/>
      <c r="H9" s="23" t="s">
        <v>14</v>
      </c>
      <c r="I9" s="7"/>
      <c r="J9" s="23" t="s">
        <v>29</v>
      </c>
      <c r="K9" s="7"/>
    </row>
    <row r="10" ht="15.0" customHeight="1">
      <c r="A10" s="24" t="s">
        <v>31</v>
      </c>
      <c r="B10" s="25" t="s">
        <v>35</v>
      </c>
      <c r="C10" s="7"/>
      <c r="D10" s="30">
        <v>141.0</v>
      </c>
      <c r="E10" s="11"/>
      <c r="F10" s="30">
        <v>129.0</v>
      </c>
      <c r="G10" s="11"/>
      <c r="H10" s="31">
        <v>173.0</v>
      </c>
      <c r="I10" s="7"/>
      <c r="J10" s="31">
        <v>182.0</v>
      </c>
      <c r="K10" s="7"/>
    </row>
    <row r="11" ht="15.0" customHeight="1">
      <c r="A11" s="24" t="s">
        <v>37</v>
      </c>
      <c r="B11" s="25" t="s">
        <v>38</v>
      </c>
      <c r="C11" s="7"/>
      <c r="D11" s="30">
        <v>76.0</v>
      </c>
      <c r="E11" s="11"/>
      <c r="F11" s="30">
        <v>50.0</v>
      </c>
      <c r="G11" s="11"/>
      <c r="H11" s="31">
        <v>79.0</v>
      </c>
      <c r="I11" s="7"/>
      <c r="J11" s="31">
        <v>68.0</v>
      </c>
      <c r="K11" s="7"/>
    </row>
    <row r="12" ht="15.0" customHeight="1">
      <c r="A12" s="24" t="s">
        <v>40</v>
      </c>
      <c r="B12" s="25" t="s">
        <v>41</v>
      </c>
      <c r="C12" s="7"/>
      <c r="D12" s="30">
        <v>115.0</v>
      </c>
      <c r="E12" s="11"/>
      <c r="F12" s="30">
        <v>86.0</v>
      </c>
      <c r="G12" s="11"/>
      <c r="H12" s="31">
        <v>109.0</v>
      </c>
      <c r="I12" s="7"/>
      <c r="J12" s="31">
        <v>121.0</v>
      </c>
      <c r="K12" s="7"/>
    </row>
    <row r="13" ht="15.0" customHeight="1">
      <c r="A13" s="24" t="s">
        <v>44</v>
      </c>
      <c r="B13" s="25" t="s">
        <v>45</v>
      </c>
      <c r="C13" s="7"/>
      <c r="D13" s="30">
        <v>134.0</v>
      </c>
      <c r="E13" s="11"/>
      <c r="F13" s="30">
        <v>114.0</v>
      </c>
      <c r="G13" s="11"/>
      <c r="H13" s="31">
        <v>151.0</v>
      </c>
      <c r="I13" s="7"/>
      <c r="J13" s="31">
        <v>146.0</v>
      </c>
      <c r="K13" s="7"/>
    </row>
    <row r="14">
      <c r="A14" s="24" t="s">
        <v>47</v>
      </c>
      <c r="B14" s="25" t="s">
        <v>48</v>
      </c>
      <c r="C14" s="7"/>
      <c r="D14" s="30">
        <v>125.0</v>
      </c>
      <c r="E14" s="11"/>
      <c r="F14" s="30">
        <v>114.0</v>
      </c>
      <c r="G14" s="11"/>
      <c r="H14" s="31">
        <v>156.0</v>
      </c>
      <c r="I14" s="7"/>
      <c r="J14" s="31">
        <v>143.0</v>
      </c>
      <c r="K14" s="7"/>
    </row>
    <row r="15" ht="15.0" customHeight="1">
      <c r="A15" s="24" t="s">
        <v>51</v>
      </c>
      <c r="B15" s="25" t="s">
        <v>52</v>
      </c>
      <c r="C15" s="7"/>
      <c r="D15" s="30">
        <v>321.0</v>
      </c>
      <c r="E15" s="11"/>
      <c r="F15" s="30">
        <v>304.0</v>
      </c>
      <c r="G15" s="11"/>
      <c r="H15" s="31">
        <v>379.0</v>
      </c>
      <c r="I15" s="7"/>
      <c r="J15" s="31">
        <v>368.0</v>
      </c>
      <c r="K15" s="7"/>
    </row>
    <row r="16" ht="15.0" customHeight="1">
      <c r="A16" s="24" t="s">
        <v>55</v>
      </c>
      <c r="B16" s="25" t="s">
        <v>56</v>
      </c>
      <c r="C16" s="7"/>
      <c r="D16" s="30">
        <v>71.0</v>
      </c>
      <c r="E16" s="11"/>
      <c r="F16" s="30">
        <v>58.0</v>
      </c>
      <c r="G16" s="11"/>
      <c r="H16" s="31">
        <v>84.0</v>
      </c>
      <c r="I16" s="7"/>
      <c r="J16" s="31">
        <v>73.0</v>
      </c>
      <c r="K16" s="7"/>
    </row>
    <row r="17" ht="15.0" customHeight="1">
      <c r="A17" s="24" t="s">
        <v>60</v>
      </c>
      <c r="B17" s="25" t="s">
        <v>62</v>
      </c>
      <c r="C17" s="7"/>
      <c r="D17" s="30">
        <v>127.0</v>
      </c>
      <c r="E17" s="11"/>
      <c r="F17" s="30">
        <v>120.0</v>
      </c>
      <c r="G17" s="11"/>
      <c r="H17" s="31">
        <v>184.0</v>
      </c>
      <c r="I17" s="7"/>
      <c r="J17" s="31">
        <v>165.0</v>
      </c>
      <c r="K17" s="7"/>
    </row>
    <row r="18" ht="15.0" customHeight="1">
      <c r="A18" s="24" t="s">
        <v>65</v>
      </c>
      <c r="B18" s="25" t="s">
        <v>66</v>
      </c>
      <c r="C18" s="7"/>
      <c r="D18" s="30">
        <v>438.0</v>
      </c>
      <c r="E18" s="11"/>
      <c r="F18" s="30">
        <v>399.0</v>
      </c>
      <c r="G18" s="11"/>
      <c r="H18" s="31">
        <v>526.0</v>
      </c>
      <c r="I18" s="7"/>
      <c r="J18" s="31">
        <v>460.0</v>
      </c>
      <c r="K18" s="7"/>
    </row>
    <row r="19" ht="15.0" customHeight="1">
      <c r="A19" s="24" t="s">
        <v>71</v>
      </c>
      <c r="B19" s="25" t="s">
        <v>72</v>
      </c>
      <c r="C19" s="7"/>
      <c r="D19" s="30">
        <v>440.0</v>
      </c>
      <c r="E19" s="11"/>
      <c r="F19" s="30">
        <v>410.0</v>
      </c>
      <c r="G19" s="11"/>
      <c r="H19" s="31">
        <v>506.0</v>
      </c>
      <c r="I19" s="7"/>
      <c r="J19" s="31">
        <v>478.0</v>
      </c>
      <c r="K19" s="7"/>
    </row>
    <row r="20" ht="15.0" customHeight="1">
      <c r="A20" s="24" t="s">
        <v>74</v>
      </c>
      <c r="B20" s="25" t="s">
        <v>75</v>
      </c>
      <c r="C20" s="7"/>
      <c r="D20" s="30">
        <v>88.0</v>
      </c>
      <c r="E20" s="11"/>
      <c r="F20" s="30">
        <v>88.0</v>
      </c>
      <c r="G20" s="11"/>
      <c r="H20" s="31">
        <v>111.0</v>
      </c>
      <c r="I20" s="7"/>
      <c r="J20" s="31">
        <v>112.0</v>
      </c>
      <c r="K20" s="7"/>
    </row>
    <row r="21" ht="15.0" customHeight="1">
      <c r="A21" s="24" t="s">
        <v>77</v>
      </c>
      <c r="B21" s="25" t="s">
        <v>78</v>
      </c>
      <c r="C21" s="7"/>
      <c r="D21" s="30">
        <v>114.0</v>
      </c>
      <c r="E21" s="11"/>
      <c r="F21" s="30">
        <v>142.0</v>
      </c>
      <c r="G21" s="11"/>
      <c r="H21" s="31">
        <v>153.0</v>
      </c>
      <c r="I21" s="7"/>
      <c r="J21" s="31">
        <v>141.0</v>
      </c>
      <c r="K21" s="7"/>
    </row>
    <row r="22" ht="15.0" customHeight="1">
      <c r="A22" s="24" t="s">
        <v>79</v>
      </c>
      <c r="B22" s="25" t="s">
        <v>80</v>
      </c>
      <c r="C22" s="7"/>
      <c r="D22" s="30">
        <v>293.0</v>
      </c>
      <c r="E22" s="11"/>
      <c r="F22" s="30">
        <v>283.0</v>
      </c>
      <c r="G22" s="11"/>
      <c r="H22" s="31">
        <v>399.0</v>
      </c>
      <c r="I22" s="7"/>
      <c r="J22" s="31">
        <v>353.0</v>
      </c>
      <c r="K22" s="7"/>
    </row>
    <row r="23" ht="15.75" customHeight="1">
      <c r="A23" s="24" t="s">
        <v>81</v>
      </c>
      <c r="B23" s="25" t="s">
        <v>82</v>
      </c>
      <c r="C23" s="7"/>
      <c r="D23" s="30">
        <v>469.0</v>
      </c>
      <c r="E23" s="11"/>
      <c r="F23" s="30">
        <v>406.0</v>
      </c>
      <c r="G23" s="11"/>
      <c r="H23" s="31">
        <v>506.0</v>
      </c>
      <c r="I23" s="7"/>
      <c r="J23" s="31">
        <v>496.0</v>
      </c>
      <c r="K23" s="7"/>
    </row>
    <row r="24" ht="15.75" customHeight="1">
      <c r="A24" s="24" t="s">
        <v>83</v>
      </c>
      <c r="B24" s="25" t="s">
        <v>84</v>
      </c>
      <c r="C24" s="7"/>
      <c r="D24" s="30">
        <v>161.0</v>
      </c>
      <c r="E24" s="11"/>
      <c r="F24" s="30">
        <v>156.0</v>
      </c>
      <c r="G24" s="11"/>
      <c r="H24" s="31">
        <v>176.0</v>
      </c>
      <c r="I24" s="7"/>
      <c r="J24" s="31">
        <v>164.0</v>
      </c>
      <c r="K24" s="7"/>
    </row>
    <row r="25" ht="15.75" customHeight="1">
      <c r="A25" s="15" t="s">
        <v>52</v>
      </c>
      <c r="B25" s="6"/>
      <c r="C25" s="7"/>
      <c r="D25" s="5">
        <f>sum(D10:E24)</f>
        <v>3113</v>
      </c>
      <c r="E25" s="7"/>
      <c r="F25" s="5">
        <f>sum(F10:G24)</f>
        <v>2859</v>
      </c>
      <c r="G25" s="7"/>
      <c r="H25" s="5">
        <f>sum(H10:I24)</f>
        <v>3692</v>
      </c>
      <c r="I25" s="7"/>
      <c r="J25" s="5">
        <f>sum(J10:K24)</f>
        <v>3470</v>
      </c>
      <c r="K25" s="7"/>
    </row>
    <row r="26" ht="15.75" customHeight="1">
      <c r="D26" s="33"/>
      <c r="E26" s="33"/>
      <c r="F26" s="33"/>
      <c r="G26" s="33"/>
      <c r="H26" s="33"/>
      <c r="I26" s="33"/>
      <c r="J26" s="33"/>
      <c r="K26" s="33"/>
    </row>
    <row r="27" ht="15.75" customHeight="1">
      <c r="D27" s="33"/>
      <c r="E27" s="33"/>
      <c r="F27" s="33"/>
      <c r="G27" s="33"/>
      <c r="H27" s="33"/>
      <c r="I27" s="33"/>
      <c r="J27" s="33"/>
      <c r="K27" s="33"/>
    </row>
    <row r="28" ht="15.75" customHeight="1">
      <c r="A28" s="17" t="s">
        <v>102</v>
      </c>
      <c r="B28" s="18"/>
      <c r="C28" s="4"/>
      <c r="D28" s="19" t="s">
        <v>103</v>
      </c>
      <c r="E28" s="6"/>
      <c r="F28" s="6"/>
      <c r="G28" s="6"/>
      <c r="H28" s="6"/>
      <c r="I28" s="6"/>
      <c r="J28" s="6"/>
      <c r="K28" s="7"/>
    </row>
    <row r="29" ht="15.0" customHeight="1">
      <c r="A29" s="8"/>
      <c r="C29" s="9"/>
      <c r="D29" s="22" t="s">
        <v>28</v>
      </c>
      <c r="E29" s="6"/>
      <c r="F29" s="6"/>
      <c r="G29" s="7"/>
      <c r="H29" s="22" t="s">
        <v>33</v>
      </c>
      <c r="I29" s="6"/>
      <c r="J29" s="6"/>
      <c r="K29" s="7"/>
    </row>
    <row r="30" ht="15.0" customHeight="1">
      <c r="A30" s="8"/>
      <c r="C30" s="9"/>
      <c r="D30" s="3" t="s">
        <v>104</v>
      </c>
      <c r="E30" s="4"/>
      <c r="F30" s="3" t="s">
        <v>105</v>
      </c>
      <c r="G30" s="4"/>
      <c r="H30" s="3" t="s">
        <v>106</v>
      </c>
      <c r="I30" s="4"/>
      <c r="J30" s="3" t="s">
        <v>107</v>
      </c>
      <c r="K30" s="4"/>
    </row>
    <row r="31" ht="15.0" customHeight="1">
      <c r="A31" s="10"/>
      <c r="B31" s="16"/>
      <c r="C31" s="11"/>
      <c r="D31" s="10"/>
      <c r="E31" s="11"/>
      <c r="F31" s="10"/>
      <c r="G31" s="11"/>
      <c r="H31" s="10"/>
      <c r="I31" s="11"/>
      <c r="J31" s="10"/>
      <c r="K31" s="11"/>
    </row>
    <row r="32" ht="15.0" customHeight="1">
      <c r="A32" s="21" t="s">
        <v>11</v>
      </c>
      <c r="B32" s="6"/>
      <c r="C32" s="7"/>
      <c r="D32" s="23" t="s">
        <v>30</v>
      </c>
      <c r="E32" s="7"/>
      <c r="F32" s="23" t="s">
        <v>32</v>
      </c>
      <c r="G32" s="7"/>
      <c r="H32" s="23" t="s">
        <v>34</v>
      </c>
      <c r="I32" s="7"/>
      <c r="J32" s="23" t="s">
        <v>108</v>
      </c>
      <c r="K32" s="7"/>
    </row>
    <row r="33" ht="15.0" customHeight="1">
      <c r="A33" s="24" t="s">
        <v>31</v>
      </c>
      <c r="B33" s="25" t="s">
        <v>35</v>
      </c>
      <c r="C33" s="7"/>
      <c r="D33" s="31">
        <v>179.0</v>
      </c>
      <c r="E33" s="7"/>
      <c r="F33" s="31">
        <v>180.0</v>
      </c>
      <c r="G33" s="7"/>
      <c r="H33" s="31">
        <v>154.0</v>
      </c>
      <c r="I33" s="7"/>
      <c r="J33" s="31">
        <v>141.0</v>
      </c>
      <c r="K33" s="7"/>
    </row>
    <row r="34" ht="15.0" customHeight="1">
      <c r="A34" s="24" t="s">
        <v>37</v>
      </c>
      <c r="B34" s="25" t="s">
        <v>38</v>
      </c>
      <c r="C34" s="7"/>
      <c r="D34" s="31">
        <v>76.0</v>
      </c>
      <c r="E34" s="7"/>
      <c r="F34" s="31">
        <v>71.0</v>
      </c>
      <c r="G34" s="7"/>
      <c r="H34" s="31">
        <v>65.0</v>
      </c>
      <c r="I34" s="7"/>
      <c r="J34" s="31">
        <v>64.0</v>
      </c>
      <c r="K34" s="7"/>
    </row>
    <row r="35" ht="15.0" customHeight="1">
      <c r="A35" s="24" t="s">
        <v>40</v>
      </c>
      <c r="B35" s="25" t="s">
        <v>41</v>
      </c>
      <c r="C35" s="7"/>
      <c r="D35" s="31">
        <v>115.0</v>
      </c>
      <c r="E35" s="7"/>
      <c r="F35" s="31">
        <v>114.0</v>
      </c>
      <c r="G35" s="7"/>
      <c r="H35" s="31">
        <v>107.0</v>
      </c>
      <c r="I35" s="7"/>
      <c r="J35" s="31">
        <v>83.0</v>
      </c>
      <c r="K35" s="7"/>
    </row>
    <row r="36" ht="15.0" customHeight="1">
      <c r="A36" s="24" t="s">
        <v>44</v>
      </c>
      <c r="B36" s="25" t="s">
        <v>45</v>
      </c>
      <c r="C36" s="7"/>
      <c r="D36" s="31">
        <v>151.0</v>
      </c>
      <c r="E36" s="7"/>
      <c r="F36" s="31">
        <v>126.0</v>
      </c>
      <c r="G36" s="7"/>
      <c r="H36" s="31">
        <v>121.0</v>
      </c>
      <c r="I36" s="7"/>
      <c r="J36" s="31">
        <v>105.0</v>
      </c>
      <c r="K36" s="7"/>
    </row>
    <row r="37" ht="15.75" customHeight="1">
      <c r="A37" s="24" t="s">
        <v>47</v>
      </c>
      <c r="B37" s="25" t="s">
        <v>48</v>
      </c>
      <c r="C37" s="7"/>
      <c r="D37" s="31">
        <v>152.0</v>
      </c>
      <c r="E37" s="7"/>
      <c r="F37" s="31">
        <v>133.0</v>
      </c>
      <c r="G37" s="7"/>
      <c r="H37" s="31">
        <v>136.0</v>
      </c>
      <c r="I37" s="7"/>
      <c r="J37" s="31">
        <v>110.0</v>
      </c>
      <c r="K37" s="7"/>
    </row>
    <row r="38" ht="15.0" customHeight="1">
      <c r="A38" s="24" t="s">
        <v>51</v>
      </c>
      <c r="B38" s="25" t="s">
        <v>52</v>
      </c>
      <c r="C38" s="7"/>
      <c r="D38" s="31">
        <v>409.0</v>
      </c>
      <c r="E38" s="7"/>
      <c r="F38" s="31">
        <v>389.0</v>
      </c>
      <c r="G38" s="7"/>
      <c r="H38" s="31">
        <v>354.0</v>
      </c>
      <c r="I38" s="7"/>
      <c r="J38" s="31">
        <v>371.0</v>
      </c>
      <c r="K38" s="7"/>
    </row>
    <row r="39" ht="15.0" customHeight="1">
      <c r="A39" s="24" t="s">
        <v>55</v>
      </c>
      <c r="B39" s="25" t="s">
        <v>56</v>
      </c>
      <c r="C39" s="7"/>
      <c r="D39" s="31">
        <v>78.0</v>
      </c>
      <c r="E39" s="7"/>
      <c r="F39" s="31">
        <v>63.0</v>
      </c>
      <c r="G39" s="7"/>
      <c r="H39" s="31">
        <v>76.0</v>
      </c>
      <c r="I39" s="7"/>
      <c r="J39" s="31">
        <v>67.0</v>
      </c>
      <c r="K39" s="7"/>
    </row>
    <row r="40" ht="15.0" customHeight="1">
      <c r="A40" s="24" t="s">
        <v>60</v>
      </c>
      <c r="B40" s="25" t="s">
        <v>62</v>
      </c>
      <c r="C40" s="7"/>
      <c r="D40" s="31">
        <v>185.0</v>
      </c>
      <c r="E40" s="7"/>
      <c r="F40" s="31">
        <v>142.0</v>
      </c>
      <c r="G40" s="7"/>
      <c r="H40" s="31">
        <v>173.0</v>
      </c>
      <c r="I40" s="7"/>
      <c r="J40" s="31">
        <v>158.0</v>
      </c>
      <c r="K40" s="7"/>
    </row>
    <row r="41" ht="15.0" customHeight="1">
      <c r="A41" s="24" t="s">
        <v>65</v>
      </c>
      <c r="B41" s="25" t="s">
        <v>66</v>
      </c>
      <c r="C41" s="7"/>
      <c r="D41" s="31">
        <v>498.0</v>
      </c>
      <c r="E41" s="7"/>
      <c r="F41" s="31">
        <v>470.0</v>
      </c>
      <c r="G41" s="7"/>
      <c r="H41" s="31">
        <v>418.0</v>
      </c>
      <c r="I41" s="7"/>
      <c r="J41" s="31">
        <v>419.0</v>
      </c>
      <c r="K41" s="7"/>
    </row>
    <row r="42" ht="15.0" customHeight="1">
      <c r="A42" s="24" t="s">
        <v>71</v>
      </c>
      <c r="B42" s="25" t="s">
        <v>72</v>
      </c>
      <c r="C42" s="7"/>
      <c r="D42" s="31">
        <v>512.0</v>
      </c>
      <c r="E42" s="7"/>
      <c r="F42" s="31">
        <v>509.0</v>
      </c>
      <c r="G42" s="7"/>
      <c r="H42" s="31">
        <v>445.0</v>
      </c>
      <c r="I42" s="7"/>
      <c r="J42" s="31">
        <v>408.0</v>
      </c>
      <c r="K42" s="7"/>
    </row>
    <row r="43" ht="15.0" customHeight="1">
      <c r="A43" s="24" t="s">
        <v>74</v>
      </c>
      <c r="B43" s="25" t="s">
        <v>75</v>
      </c>
      <c r="C43" s="7"/>
      <c r="D43" s="31">
        <v>116.0</v>
      </c>
      <c r="E43" s="7"/>
      <c r="F43" s="31">
        <v>129.0</v>
      </c>
      <c r="G43" s="7"/>
      <c r="H43" s="31">
        <v>102.0</v>
      </c>
      <c r="I43" s="7"/>
      <c r="J43" s="31">
        <v>79.0</v>
      </c>
      <c r="K43" s="7"/>
    </row>
    <row r="44" ht="15.0" customHeight="1">
      <c r="A44" s="24" t="s">
        <v>77</v>
      </c>
      <c r="B44" s="25" t="s">
        <v>78</v>
      </c>
      <c r="C44" s="7"/>
      <c r="D44" s="31">
        <v>153.0</v>
      </c>
      <c r="E44" s="7"/>
      <c r="F44" s="31">
        <v>149.0</v>
      </c>
      <c r="G44" s="7"/>
      <c r="H44" s="31">
        <v>147.0</v>
      </c>
      <c r="I44" s="7"/>
      <c r="J44" s="31">
        <v>121.0</v>
      </c>
      <c r="K44" s="7"/>
    </row>
    <row r="45" ht="15.75" customHeight="1">
      <c r="A45" s="24" t="s">
        <v>79</v>
      </c>
      <c r="B45" s="25" t="s">
        <v>80</v>
      </c>
      <c r="C45" s="7"/>
      <c r="D45" s="31">
        <v>360.0</v>
      </c>
      <c r="E45" s="7"/>
      <c r="F45" s="31">
        <v>339.0</v>
      </c>
      <c r="G45" s="7"/>
      <c r="H45" s="31">
        <v>317.0</v>
      </c>
      <c r="I45" s="7"/>
      <c r="J45" s="31">
        <v>336.0</v>
      </c>
      <c r="K45" s="7"/>
    </row>
    <row r="46" ht="15.75" customHeight="1">
      <c r="A46" s="24" t="s">
        <v>81</v>
      </c>
      <c r="B46" s="25" t="s">
        <v>82</v>
      </c>
      <c r="C46" s="7"/>
      <c r="D46" s="31">
        <v>512.0</v>
      </c>
      <c r="E46" s="7"/>
      <c r="F46" s="31">
        <v>484.0</v>
      </c>
      <c r="G46" s="7"/>
      <c r="H46" s="31">
        <v>420.0</v>
      </c>
      <c r="I46" s="7"/>
      <c r="J46" s="31">
        <v>420.0</v>
      </c>
      <c r="K46" s="7"/>
    </row>
    <row r="47" ht="15.75" customHeight="1">
      <c r="A47" s="24" t="s">
        <v>83</v>
      </c>
      <c r="B47" s="25" t="s">
        <v>84</v>
      </c>
      <c r="C47" s="7"/>
      <c r="D47" s="31">
        <v>197.0</v>
      </c>
      <c r="E47" s="7"/>
      <c r="F47" s="31">
        <v>163.0</v>
      </c>
      <c r="G47" s="7"/>
      <c r="H47" s="31">
        <v>168.0</v>
      </c>
      <c r="I47" s="7"/>
      <c r="J47" s="31">
        <v>161.0</v>
      </c>
      <c r="K47" s="7"/>
    </row>
    <row r="48" ht="15.0" customHeight="1">
      <c r="A48" s="15" t="s">
        <v>52</v>
      </c>
      <c r="B48" s="6"/>
      <c r="C48" s="7"/>
      <c r="D48" s="5">
        <f>sum(D33:E47)</f>
        <v>3693</v>
      </c>
      <c r="E48" s="7"/>
      <c r="F48" s="5">
        <f>sum(F33:G47)</f>
        <v>3461</v>
      </c>
      <c r="G48" s="7"/>
      <c r="H48" s="5">
        <f>sum(H33:I47)</f>
        <v>3203</v>
      </c>
      <c r="I48" s="7"/>
      <c r="J48" s="5">
        <f>sum(J33:K47)</f>
        <v>3043</v>
      </c>
      <c r="K48" s="7"/>
    </row>
    <row r="49" ht="15.0" customHeight="1">
      <c r="D49" s="33"/>
      <c r="E49" s="33"/>
      <c r="F49" s="33"/>
      <c r="G49" s="33"/>
      <c r="H49" s="33"/>
      <c r="I49" s="33"/>
      <c r="J49" s="33"/>
      <c r="K49" s="33"/>
    </row>
    <row r="50" ht="15.0" customHeight="1">
      <c r="D50" s="33"/>
      <c r="E50" s="33"/>
      <c r="F50" s="33"/>
      <c r="G50" s="33"/>
      <c r="H50" s="33"/>
      <c r="I50" s="33"/>
      <c r="J50" s="33"/>
      <c r="K50" s="33"/>
    </row>
    <row r="51" ht="15.0" customHeight="1">
      <c r="A51" s="17" t="s">
        <v>112</v>
      </c>
      <c r="B51" s="18"/>
      <c r="C51" s="4"/>
      <c r="D51" s="19" t="s">
        <v>114</v>
      </c>
      <c r="E51" s="6"/>
      <c r="F51" s="6"/>
      <c r="G51" s="6"/>
      <c r="H51" s="6"/>
      <c r="I51" s="6"/>
      <c r="J51" s="6"/>
      <c r="K51" s="7"/>
    </row>
    <row r="52" ht="15.0" customHeight="1">
      <c r="A52" s="8"/>
      <c r="C52" s="9"/>
      <c r="D52" s="22" t="s">
        <v>36</v>
      </c>
      <c r="E52" s="6"/>
      <c r="F52" s="6"/>
      <c r="G52" s="7"/>
      <c r="H52" s="22" t="s">
        <v>39</v>
      </c>
      <c r="I52" s="6"/>
      <c r="J52" s="6"/>
      <c r="K52" s="7"/>
    </row>
    <row r="53" ht="15.75" customHeight="1">
      <c r="A53" s="8"/>
      <c r="C53" s="9"/>
      <c r="D53" s="3" t="s">
        <v>119</v>
      </c>
      <c r="E53" s="4"/>
      <c r="F53" s="3" t="s">
        <v>120</v>
      </c>
      <c r="G53" s="4"/>
      <c r="H53" s="3" t="s">
        <v>122</v>
      </c>
      <c r="I53" s="4"/>
      <c r="J53" s="3" t="s">
        <v>123</v>
      </c>
      <c r="K53" s="4"/>
    </row>
    <row r="54" ht="15.0" customHeight="1">
      <c r="A54" s="10"/>
      <c r="B54" s="16"/>
      <c r="C54" s="11"/>
      <c r="D54" s="10"/>
      <c r="E54" s="11"/>
      <c r="F54" s="10"/>
      <c r="G54" s="11"/>
      <c r="H54" s="10"/>
      <c r="I54" s="11"/>
      <c r="J54" s="10"/>
      <c r="K54" s="11"/>
    </row>
    <row r="55" ht="15.0" customHeight="1">
      <c r="A55" s="21" t="s">
        <v>11</v>
      </c>
      <c r="B55" s="6"/>
      <c r="C55" s="7"/>
      <c r="D55" s="23" t="s">
        <v>126</v>
      </c>
      <c r="E55" s="7"/>
      <c r="F55" s="23" t="s">
        <v>128</v>
      </c>
      <c r="G55" s="7"/>
      <c r="H55" s="23" t="s">
        <v>130</v>
      </c>
      <c r="I55" s="7"/>
      <c r="J55" s="23" t="s">
        <v>131</v>
      </c>
      <c r="K55" s="7"/>
    </row>
    <row r="56" ht="15.75" customHeight="1">
      <c r="A56" s="24" t="s">
        <v>31</v>
      </c>
      <c r="B56" s="25" t="s">
        <v>35</v>
      </c>
      <c r="C56" s="7"/>
      <c r="D56" s="31">
        <v>150.0</v>
      </c>
      <c r="E56" s="7"/>
      <c r="F56" s="31">
        <v>127.0</v>
      </c>
      <c r="G56" s="7"/>
      <c r="H56" s="31">
        <v>152.0</v>
      </c>
      <c r="I56" s="7"/>
      <c r="J56" s="31">
        <v>144.0</v>
      </c>
      <c r="K56" s="7"/>
    </row>
    <row r="57" ht="15.0" customHeight="1">
      <c r="A57" s="24" t="s">
        <v>37</v>
      </c>
      <c r="B57" s="25" t="s">
        <v>38</v>
      </c>
      <c r="C57" s="7"/>
      <c r="D57" s="31">
        <v>61.0</v>
      </c>
      <c r="E57" s="7"/>
      <c r="F57" s="31">
        <v>46.0</v>
      </c>
      <c r="G57" s="7"/>
      <c r="H57" s="31">
        <v>76.0</v>
      </c>
      <c r="I57" s="7"/>
      <c r="J57" s="31">
        <v>83.0</v>
      </c>
      <c r="K57" s="7"/>
    </row>
    <row r="58" ht="15.0" customHeight="1">
      <c r="A58" s="24" t="s">
        <v>40</v>
      </c>
      <c r="B58" s="25" t="s">
        <v>41</v>
      </c>
      <c r="C58" s="7"/>
      <c r="D58" s="31">
        <v>101.0</v>
      </c>
      <c r="E58" s="7"/>
      <c r="F58" s="31">
        <v>89.0</v>
      </c>
      <c r="G58" s="7"/>
      <c r="H58" s="31">
        <v>88.0</v>
      </c>
      <c r="I58" s="7"/>
      <c r="J58" s="31">
        <v>105.0</v>
      </c>
      <c r="K58" s="7"/>
    </row>
    <row r="59" ht="15.0" customHeight="1">
      <c r="A59" s="24" t="s">
        <v>44</v>
      </c>
      <c r="B59" s="25" t="s">
        <v>45</v>
      </c>
      <c r="C59" s="7"/>
      <c r="D59" s="31">
        <v>125.0</v>
      </c>
      <c r="E59" s="7"/>
      <c r="F59" s="31">
        <v>109.0</v>
      </c>
      <c r="G59" s="7"/>
      <c r="H59" s="31">
        <v>120.0</v>
      </c>
      <c r="I59" s="7"/>
      <c r="J59" s="31">
        <v>127.0</v>
      </c>
      <c r="K59" s="7"/>
    </row>
    <row r="60" ht="15.75" customHeight="1">
      <c r="A60" s="24" t="s">
        <v>47</v>
      </c>
      <c r="B60" s="25" t="s">
        <v>48</v>
      </c>
      <c r="C60" s="7"/>
      <c r="D60" s="31">
        <v>123.0</v>
      </c>
      <c r="E60" s="7"/>
      <c r="F60" s="31">
        <v>119.0</v>
      </c>
      <c r="G60" s="7"/>
      <c r="H60" s="31">
        <v>137.0</v>
      </c>
      <c r="I60" s="7"/>
      <c r="J60" s="31">
        <v>126.0</v>
      </c>
      <c r="K60" s="7"/>
    </row>
    <row r="61" ht="15.75" customHeight="1">
      <c r="A61" s="24" t="s">
        <v>51</v>
      </c>
      <c r="B61" s="25" t="s">
        <v>52</v>
      </c>
      <c r="C61" s="7"/>
      <c r="D61" s="31">
        <v>365.0</v>
      </c>
      <c r="E61" s="7"/>
      <c r="F61" s="31">
        <v>353.0</v>
      </c>
      <c r="G61" s="7"/>
      <c r="H61" s="31">
        <v>412.0</v>
      </c>
      <c r="I61" s="7"/>
      <c r="J61" s="31">
        <v>328.0</v>
      </c>
      <c r="K61" s="7"/>
    </row>
    <row r="62" ht="15.0" customHeight="1">
      <c r="A62" s="24" t="s">
        <v>55</v>
      </c>
      <c r="B62" s="25" t="s">
        <v>56</v>
      </c>
      <c r="C62" s="7"/>
      <c r="D62" s="31">
        <v>68.0</v>
      </c>
      <c r="E62" s="7"/>
      <c r="F62" s="31">
        <v>76.0</v>
      </c>
      <c r="G62" s="7"/>
      <c r="H62" s="31">
        <v>71.0</v>
      </c>
      <c r="I62" s="7"/>
      <c r="J62" s="31">
        <v>73.0</v>
      </c>
      <c r="K62" s="7"/>
    </row>
    <row r="63" ht="15.75" customHeight="1">
      <c r="A63" s="24" t="s">
        <v>60</v>
      </c>
      <c r="B63" s="25" t="s">
        <v>62</v>
      </c>
      <c r="C63" s="7"/>
      <c r="D63" s="31">
        <v>117.0</v>
      </c>
      <c r="E63" s="7"/>
      <c r="F63" s="31">
        <v>108.0</v>
      </c>
      <c r="G63" s="7"/>
      <c r="H63" s="31">
        <v>145.0</v>
      </c>
      <c r="I63" s="7"/>
      <c r="J63" s="31">
        <v>143.0</v>
      </c>
      <c r="K63" s="7"/>
    </row>
    <row r="64" ht="15.0" customHeight="1">
      <c r="A64" s="24" t="s">
        <v>65</v>
      </c>
      <c r="B64" s="25" t="s">
        <v>66</v>
      </c>
      <c r="C64" s="7"/>
      <c r="D64" s="31">
        <v>399.0</v>
      </c>
      <c r="E64" s="7"/>
      <c r="F64" s="31">
        <v>424.0</v>
      </c>
      <c r="G64" s="7"/>
      <c r="H64" s="31">
        <v>501.0</v>
      </c>
      <c r="I64" s="7"/>
      <c r="J64" s="31">
        <v>477.0</v>
      </c>
      <c r="K64" s="7"/>
    </row>
    <row r="65" ht="15.0" customHeight="1">
      <c r="A65" s="24" t="s">
        <v>71</v>
      </c>
      <c r="B65" s="25" t="s">
        <v>72</v>
      </c>
      <c r="C65" s="7"/>
      <c r="D65" s="31">
        <v>379.0</v>
      </c>
      <c r="E65" s="7"/>
      <c r="F65" s="31">
        <v>418.0</v>
      </c>
      <c r="G65" s="7"/>
      <c r="H65" s="31">
        <v>396.0</v>
      </c>
      <c r="I65" s="7"/>
      <c r="J65" s="31">
        <v>403.0</v>
      </c>
      <c r="K65" s="7"/>
    </row>
    <row r="66" ht="15.0" customHeight="1">
      <c r="A66" s="24" t="s">
        <v>74</v>
      </c>
      <c r="B66" s="25" t="s">
        <v>75</v>
      </c>
      <c r="C66" s="7"/>
      <c r="D66" s="31">
        <v>84.0</v>
      </c>
      <c r="E66" s="7"/>
      <c r="F66" s="31">
        <v>85.0</v>
      </c>
      <c r="G66" s="7"/>
      <c r="H66" s="31">
        <v>96.0</v>
      </c>
      <c r="I66" s="7"/>
      <c r="J66" s="31">
        <v>102.0</v>
      </c>
      <c r="K66" s="7"/>
    </row>
    <row r="67" ht="15.0" customHeight="1">
      <c r="A67" s="24" t="s">
        <v>77</v>
      </c>
      <c r="B67" s="25" t="s">
        <v>78</v>
      </c>
      <c r="C67" s="7"/>
      <c r="D67" s="31">
        <v>149.0</v>
      </c>
      <c r="E67" s="7"/>
      <c r="F67" s="31">
        <v>131.0</v>
      </c>
      <c r="G67" s="7"/>
      <c r="H67" s="31">
        <v>126.0</v>
      </c>
      <c r="I67" s="7"/>
      <c r="J67" s="31">
        <v>144.0</v>
      </c>
      <c r="K67" s="7"/>
    </row>
    <row r="68" ht="15.0" customHeight="1">
      <c r="A68" s="24" t="s">
        <v>79</v>
      </c>
      <c r="B68" s="25" t="s">
        <v>80</v>
      </c>
      <c r="C68" s="7"/>
      <c r="D68" s="31">
        <v>306.0</v>
      </c>
      <c r="E68" s="7"/>
      <c r="F68" s="31">
        <v>295.0</v>
      </c>
      <c r="G68" s="7"/>
      <c r="H68" s="31">
        <v>302.0</v>
      </c>
      <c r="I68" s="7"/>
      <c r="J68" s="31">
        <v>296.0</v>
      </c>
      <c r="K68" s="7"/>
    </row>
    <row r="69" ht="15.0" customHeight="1">
      <c r="A69" s="24" t="s">
        <v>81</v>
      </c>
      <c r="B69" s="25" t="s">
        <v>82</v>
      </c>
      <c r="C69" s="7"/>
      <c r="D69" s="31">
        <v>409.0</v>
      </c>
      <c r="E69" s="7"/>
      <c r="F69" s="31">
        <v>415.0</v>
      </c>
      <c r="G69" s="7"/>
      <c r="H69" s="31">
        <v>442.0</v>
      </c>
      <c r="I69" s="7"/>
      <c r="J69" s="31">
        <v>434.0</v>
      </c>
      <c r="K69" s="7"/>
    </row>
    <row r="70" ht="15.0" customHeight="1">
      <c r="A70" s="24" t="s">
        <v>83</v>
      </c>
      <c r="B70" s="25" t="s">
        <v>84</v>
      </c>
      <c r="C70" s="7"/>
      <c r="D70" s="31">
        <v>139.0</v>
      </c>
      <c r="E70" s="7"/>
      <c r="F70" s="31">
        <v>156.0</v>
      </c>
      <c r="G70" s="7"/>
      <c r="H70" s="31">
        <v>157.0</v>
      </c>
      <c r="I70" s="7"/>
      <c r="J70" s="31">
        <v>168.0</v>
      </c>
      <c r="K70" s="7"/>
    </row>
    <row r="71" ht="15.75" customHeight="1">
      <c r="A71" s="15" t="s">
        <v>52</v>
      </c>
      <c r="B71" s="6"/>
      <c r="C71" s="7"/>
      <c r="D71" s="5">
        <f>sum(D56:E70)</f>
        <v>2975</v>
      </c>
      <c r="E71" s="7"/>
      <c r="F71" s="5">
        <f>sum(F56:G70)</f>
        <v>2951</v>
      </c>
      <c r="G71" s="7"/>
      <c r="H71" s="5">
        <f>sum(H56:I70)</f>
        <v>3221</v>
      </c>
      <c r="I71" s="7"/>
      <c r="J71" s="5">
        <f>sum(J56:K70)</f>
        <v>3153</v>
      </c>
      <c r="K71" s="7"/>
    </row>
    <row r="72" ht="15.0" customHeight="1">
      <c r="D72" s="33"/>
      <c r="E72" s="33"/>
      <c r="F72" s="33"/>
      <c r="G72" s="33"/>
      <c r="H72" s="33"/>
      <c r="I72" s="33"/>
      <c r="J72" s="33"/>
      <c r="K72" s="33"/>
    </row>
    <row r="73" ht="15.0" customHeight="1">
      <c r="A73" s="17" t="s">
        <v>191</v>
      </c>
      <c r="B73" s="18"/>
      <c r="C73" s="4"/>
      <c r="D73" s="19" t="s">
        <v>192</v>
      </c>
      <c r="E73" s="6"/>
      <c r="F73" s="6"/>
      <c r="G73" s="6"/>
      <c r="H73" s="6"/>
      <c r="I73" s="6"/>
      <c r="J73" s="6"/>
      <c r="K73" s="7"/>
    </row>
    <row r="74" ht="15.0" customHeight="1">
      <c r="A74" s="8"/>
      <c r="C74" s="9"/>
      <c r="D74" s="22" t="s">
        <v>42</v>
      </c>
      <c r="E74" s="6"/>
      <c r="F74" s="6"/>
      <c r="G74" s="7"/>
      <c r="H74" s="22" t="s">
        <v>43</v>
      </c>
      <c r="I74" s="6"/>
      <c r="J74" s="6"/>
      <c r="K74" s="7"/>
    </row>
    <row r="75" ht="15.0" customHeight="1">
      <c r="A75" s="8"/>
      <c r="C75" s="9"/>
      <c r="D75" s="3" t="s">
        <v>193</v>
      </c>
      <c r="E75" s="4"/>
      <c r="F75" s="3" t="s">
        <v>194</v>
      </c>
      <c r="G75" s="4"/>
      <c r="H75" s="3" t="s">
        <v>195</v>
      </c>
      <c r="I75" s="4"/>
      <c r="J75" s="3" t="s">
        <v>196</v>
      </c>
      <c r="K75" s="4"/>
    </row>
    <row r="76" ht="15.0" customHeight="1">
      <c r="A76" s="10"/>
      <c r="B76" s="16"/>
      <c r="C76" s="11"/>
      <c r="D76" s="10"/>
      <c r="E76" s="11"/>
      <c r="F76" s="10"/>
      <c r="G76" s="11"/>
      <c r="H76" s="10"/>
      <c r="I76" s="11"/>
      <c r="J76" s="10"/>
      <c r="K76" s="11"/>
    </row>
    <row r="77" ht="15.0" customHeight="1">
      <c r="A77" s="21" t="s">
        <v>11</v>
      </c>
      <c r="B77" s="6"/>
      <c r="C77" s="7"/>
      <c r="D77" s="23" t="s">
        <v>197</v>
      </c>
      <c r="E77" s="7"/>
      <c r="F77" s="23" t="s">
        <v>198</v>
      </c>
      <c r="G77" s="7"/>
      <c r="H77" s="23" t="s">
        <v>200</v>
      </c>
      <c r="I77" s="7"/>
      <c r="J77" s="23" t="s">
        <v>201</v>
      </c>
      <c r="K77" s="7"/>
    </row>
    <row r="78" ht="15.0" customHeight="1">
      <c r="A78" s="24" t="s">
        <v>31</v>
      </c>
      <c r="B78" s="25" t="s">
        <v>35</v>
      </c>
      <c r="C78" s="7"/>
      <c r="D78" s="31">
        <v>135.0</v>
      </c>
      <c r="E78" s="7"/>
      <c r="F78" s="31">
        <v>144.0</v>
      </c>
      <c r="G78" s="7"/>
      <c r="H78" s="31">
        <v>152.0</v>
      </c>
      <c r="I78" s="7"/>
      <c r="J78" s="31">
        <v>142.0</v>
      </c>
      <c r="K78" s="7"/>
    </row>
    <row r="79" ht="15.0" customHeight="1">
      <c r="A79" s="24" t="s">
        <v>37</v>
      </c>
      <c r="B79" s="25" t="s">
        <v>38</v>
      </c>
      <c r="C79" s="7"/>
      <c r="D79" s="31">
        <v>80.0</v>
      </c>
      <c r="E79" s="7"/>
      <c r="F79" s="31">
        <v>74.0</v>
      </c>
      <c r="G79" s="7"/>
      <c r="H79" s="31">
        <v>75.0</v>
      </c>
      <c r="I79" s="7"/>
      <c r="J79" s="31">
        <v>75.0</v>
      </c>
      <c r="K79" s="7"/>
    </row>
    <row r="80" ht="15.0" customHeight="1">
      <c r="A80" s="24" t="s">
        <v>40</v>
      </c>
      <c r="B80" s="25" t="s">
        <v>41</v>
      </c>
      <c r="C80" s="7"/>
      <c r="D80" s="31">
        <v>97.0</v>
      </c>
      <c r="E80" s="7"/>
      <c r="F80" s="31">
        <v>91.0</v>
      </c>
      <c r="G80" s="7"/>
      <c r="H80" s="31">
        <v>104.0</v>
      </c>
      <c r="I80" s="7"/>
      <c r="J80" s="31">
        <v>96.0</v>
      </c>
      <c r="K80" s="7"/>
    </row>
    <row r="81" ht="15.75" customHeight="1">
      <c r="A81" s="24" t="s">
        <v>44</v>
      </c>
      <c r="B81" s="25" t="s">
        <v>45</v>
      </c>
      <c r="C81" s="7"/>
      <c r="D81" s="31">
        <v>132.0</v>
      </c>
      <c r="E81" s="7"/>
      <c r="F81" s="31">
        <v>132.0</v>
      </c>
      <c r="G81" s="7"/>
      <c r="H81" s="31">
        <v>135.0</v>
      </c>
      <c r="I81" s="7"/>
      <c r="J81" s="31">
        <v>113.0</v>
      </c>
      <c r="K81" s="7"/>
    </row>
    <row r="82" ht="15.75" customHeight="1">
      <c r="A82" s="24" t="s">
        <v>47</v>
      </c>
      <c r="B82" s="25" t="s">
        <v>48</v>
      </c>
      <c r="C82" s="7"/>
      <c r="D82" s="31">
        <v>159.0</v>
      </c>
      <c r="E82" s="7"/>
      <c r="F82" s="31">
        <v>143.0</v>
      </c>
      <c r="G82" s="7"/>
      <c r="H82" s="31">
        <v>148.0</v>
      </c>
      <c r="I82" s="7"/>
      <c r="J82" s="31">
        <v>130.0</v>
      </c>
      <c r="K82" s="7"/>
    </row>
    <row r="83" ht="15.75" customHeight="1">
      <c r="A83" s="24" t="s">
        <v>51</v>
      </c>
      <c r="B83" s="25" t="s">
        <v>52</v>
      </c>
      <c r="C83" s="7"/>
      <c r="D83" s="31">
        <v>358.0</v>
      </c>
      <c r="E83" s="7"/>
      <c r="F83" s="31">
        <v>336.0</v>
      </c>
      <c r="G83" s="7"/>
      <c r="H83" s="31">
        <v>285.0</v>
      </c>
      <c r="I83" s="7"/>
      <c r="J83" s="31">
        <v>328.0</v>
      </c>
      <c r="K83" s="7"/>
    </row>
    <row r="84" ht="15.0" customHeight="1">
      <c r="A84" s="24" t="s">
        <v>55</v>
      </c>
      <c r="B84" s="25" t="s">
        <v>56</v>
      </c>
      <c r="C84" s="7"/>
      <c r="D84" s="31">
        <v>75.0</v>
      </c>
      <c r="E84" s="7"/>
      <c r="F84" s="31">
        <v>68.0</v>
      </c>
      <c r="G84" s="7"/>
      <c r="H84" s="31">
        <v>55.0</v>
      </c>
      <c r="I84" s="7"/>
      <c r="J84" s="31">
        <v>69.0</v>
      </c>
      <c r="K84" s="7"/>
    </row>
    <row r="85" ht="15.75" customHeight="1">
      <c r="A85" s="24" t="s">
        <v>60</v>
      </c>
      <c r="B85" s="25" t="s">
        <v>62</v>
      </c>
      <c r="C85" s="7"/>
      <c r="D85" s="31">
        <v>175.0</v>
      </c>
      <c r="E85" s="7"/>
      <c r="F85" s="31">
        <v>152.0</v>
      </c>
      <c r="G85" s="7"/>
      <c r="H85" s="31">
        <v>141.0</v>
      </c>
      <c r="I85" s="7"/>
      <c r="J85" s="31">
        <v>149.0</v>
      </c>
      <c r="K85" s="7"/>
    </row>
    <row r="86" ht="15.0" customHeight="1">
      <c r="A86" s="24" t="s">
        <v>65</v>
      </c>
      <c r="B86" s="25" t="s">
        <v>66</v>
      </c>
      <c r="C86" s="7"/>
      <c r="D86" s="31">
        <v>450.0</v>
      </c>
      <c r="E86" s="7"/>
      <c r="F86" s="31">
        <v>450.0</v>
      </c>
      <c r="G86" s="7"/>
      <c r="H86" s="31">
        <v>449.0</v>
      </c>
      <c r="I86" s="7"/>
      <c r="J86" s="31">
        <v>409.0</v>
      </c>
      <c r="K86" s="7"/>
    </row>
    <row r="87" ht="15.0" customHeight="1">
      <c r="A87" s="24" t="s">
        <v>71</v>
      </c>
      <c r="B87" s="25" t="s">
        <v>72</v>
      </c>
      <c r="C87" s="7"/>
      <c r="D87" s="31">
        <v>480.0</v>
      </c>
      <c r="E87" s="7"/>
      <c r="F87" s="31">
        <v>447.0</v>
      </c>
      <c r="G87" s="7"/>
      <c r="H87" s="31">
        <v>452.0</v>
      </c>
      <c r="I87" s="7"/>
      <c r="J87" s="31">
        <v>449.0</v>
      </c>
      <c r="K87" s="7"/>
    </row>
    <row r="88" ht="15.0" customHeight="1">
      <c r="A88" s="24" t="s">
        <v>74</v>
      </c>
      <c r="B88" s="25" t="s">
        <v>75</v>
      </c>
      <c r="C88" s="7"/>
      <c r="D88" s="31">
        <v>94.0</v>
      </c>
      <c r="E88" s="7"/>
      <c r="F88" s="31">
        <v>93.0</v>
      </c>
      <c r="G88" s="7"/>
      <c r="H88" s="31">
        <v>107.0</v>
      </c>
      <c r="I88" s="7"/>
      <c r="J88" s="31">
        <v>125.0</v>
      </c>
      <c r="K88" s="7"/>
    </row>
    <row r="89" ht="15.0" customHeight="1">
      <c r="A89" s="24" t="s">
        <v>77</v>
      </c>
      <c r="B89" s="25" t="s">
        <v>78</v>
      </c>
      <c r="C89" s="7"/>
      <c r="D89" s="31">
        <v>144.0</v>
      </c>
      <c r="E89" s="7"/>
      <c r="F89" s="31">
        <v>159.0</v>
      </c>
      <c r="G89" s="7"/>
      <c r="H89" s="31">
        <v>146.0</v>
      </c>
      <c r="I89" s="7"/>
      <c r="J89" s="31">
        <v>141.0</v>
      </c>
      <c r="K89" s="7"/>
    </row>
    <row r="90" ht="15.0" customHeight="1">
      <c r="A90" s="24" t="s">
        <v>79</v>
      </c>
      <c r="B90" s="25" t="s">
        <v>80</v>
      </c>
      <c r="C90" s="7"/>
      <c r="D90" s="31">
        <v>345.0</v>
      </c>
      <c r="E90" s="7"/>
      <c r="F90" s="31">
        <v>325.0</v>
      </c>
      <c r="G90" s="7"/>
      <c r="H90" s="31">
        <v>349.0</v>
      </c>
      <c r="I90" s="7"/>
      <c r="J90" s="31">
        <v>314.0</v>
      </c>
      <c r="K90" s="7"/>
    </row>
    <row r="91" ht="15.75" customHeight="1">
      <c r="A91" s="24" t="s">
        <v>81</v>
      </c>
      <c r="B91" s="25" t="s">
        <v>82</v>
      </c>
      <c r="C91" s="7"/>
      <c r="D91" s="31">
        <v>492.0</v>
      </c>
      <c r="E91" s="7"/>
      <c r="F91" s="31">
        <v>441.0</v>
      </c>
      <c r="G91" s="7"/>
      <c r="H91" s="31">
        <v>490.0</v>
      </c>
      <c r="I91" s="7"/>
      <c r="J91" s="31">
        <v>434.0</v>
      </c>
      <c r="K91" s="7"/>
    </row>
    <row r="92" ht="15.0" customHeight="1">
      <c r="A92" s="24" t="s">
        <v>83</v>
      </c>
      <c r="B92" s="25" t="s">
        <v>84</v>
      </c>
      <c r="C92" s="7"/>
      <c r="D92" s="31">
        <v>176.0</v>
      </c>
      <c r="E92" s="7"/>
      <c r="F92" s="31">
        <v>159.0</v>
      </c>
      <c r="G92" s="7"/>
      <c r="H92" s="31">
        <v>147.0</v>
      </c>
      <c r="I92" s="7"/>
      <c r="J92" s="31">
        <v>150.0</v>
      </c>
      <c r="K92" s="7"/>
    </row>
    <row r="93" ht="15.0" customHeight="1">
      <c r="A93" s="15" t="s">
        <v>52</v>
      </c>
      <c r="B93" s="6"/>
      <c r="C93" s="7"/>
      <c r="D93" s="5">
        <f>sum(D78:E92)</f>
        <v>3392</v>
      </c>
      <c r="E93" s="7"/>
      <c r="F93" s="5">
        <f>sum(F78:G92)</f>
        <v>3214</v>
      </c>
      <c r="G93" s="7"/>
      <c r="H93" s="5">
        <f>sum(H78:I92)</f>
        <v>3235</v>
      </c>
      <c r="I93" s="7"/>
      <c r="J93" s="5">
        <f>sum(J78:K92)</f>
        <v>3124</v>
      </c>
      <c r="K93" s="7"/>
    </row>
    <row r="94" ht="15.75" customHeight="1">
      <c r="D94" s="33"/>
      <c r="E94" s="33"/>
      <c r="F94" s="33"/>
      <c r="G94" s="33"/>
      <c r="H94" s="33"/>
      <c r="I94" s="33"/>
      <c r="J94" s="33"/>
      <c r="K94" s="33"/>
    </row>
    <row r="95" ht="15.0" customHeight="1">
      <c r="A95" s="17" t="s">
        <v>202</v>
      </c>
      <c r="B95" s="18"/>
      <c r="C95" s="4"/>
      <c r="D95" s="19" t="s">
        <v>203</v>
      </c>
      <c r="E95" s="6"/>
      <c r="F95" s="6"/>
      <c r="G95" s="6"/>
      <c r="H95" s="6"/>
      <c r="I95" s="6"/>
      <c r="J95" s="6"/>
      <c r="K95" s="7"/>
    </row>
    <row r="96" ht="15.0" customHeight="1">
      <c r="A96" s="8"/>
      <c r="C96" s="9"/>
      <c r="D96" s="22" t="s">
        <v>46</v>
      </c>
      <c r="E96" s="6"/>
      <c r="F96" s="6"/>
      <c r="G96" s="7"/>
      <c r="H96" s="22" t="s">
        <v>49</v>
      </c>
      <c r="I96" s="6"/>
      <c r="J96" s="6"/>
      <c r="K96" s="7"/>
    </row>
    <row r="97" ht="15.0" customHeight="1">
      <c r="A97" s="8"/>
      <c r="C97" s="9"/>
      <c r="D97" s="3" t="s">
        <v>204</v>
      </c>
      <c r="E97" s="4"/>
      <c r="F97" s="3" t="s">
        <v>205</v>
      </c>
      <c r="G97" s="4"/>
      <c r="H97" s="3" t="s">
        <v>206</v>
      </c>
      <c r="I97" s="4"/>
      <c r="J97" s="3" t="s">
        <v>207</v>
      </c>
      <c r="K97" s="4"/>
    </row>
    <row r="98" ht="15.75" customHeight="1">
      <c r="A98" s="10"/>
      <c r="B98" s="16"/>
      <c r="C98" s="11"/>
      <c r="D98" s="10"/>
      <c r="E98" s="11"/>
      <c r="F98" s="10"/>
      <c r="G98" s="11"/>
      <c r="H98" s="10"/>
      <c r="I98" s="11"/>
      <c r="J98" s="10"/>
      <c r="K98" s="11"/>
    </row>
    <row r="99" ht="15.75" customHeight="1">
      <c r="A99" s="21" t="s">
        <v>11</v>
      </c>
      <c r="B99" s="6"/>
      <c r="C99" s="7"/>
      <c r="D99" s="23" t="s">
        <v>208</v>
      </c>
      <c r="E99" s="7"/>
      <c r="F99" s="23" t="s">
        <v>209</v>
      </c>
      <c r="G99" s="7"/>
      <c r="H99" s="23" t="s">
        <v>210</v>
      </c>
      <c r="I99" s="7"/>
      <c r="J99" s="23" t="s">
        <v>211</v>
      </c>
      <c r="K99" s="7"/>
    </row>
    <row r="100" ht="15.75" customHeight="1">
      <c r="A100" s="24" t="s">
        <v>31</v>
      </c>
      <c r="B100" s="25" t="s">
        <v>35</v>
      </c>
      <c r="C100" s="7"/>
      <c r="D100" s="31">
        <v>191.0</v>
      </c>
      <c r="E100" s="7"/>
      <c r="F100" s="31">
        <v>151.0</v>
      </c>
      <c r="G100" s="7"/>
      <c r="H100" s="31">
        <v>144.0</v>
      </c>
      <c r="I100" s="7"/>
      <c r="J100" s="31">
        <v>136.0</v>
      </c>
      <c r="K100" s="7"/>
    </row>
    <row r="101" ht="15.0" customHeight="1">
      <c r="A101" s="24" t="s">
        <v>37</v>
      </c>
      <c r="B101" s="25" t="s">
        <v>38</v>
      </c>
      <c r="C101" s="7"/>
      <c r="D101" s="31">
        <v>74.0</v>
      </c>
      <c r="E101" s="7"/>
      <c r="F101" s="31">
        <v>58.0</v>
      </c>
      <c r="G101" s="7"/>
      <c r="H101" s="31">
        <v>50.0</v>
      </c>
      <c r="I101" s="7"/>
      <c r="J101" s="31">
        <v>57.0</v>
      </c>
      <c r="K101" s="7"/>
    </row>
    <row r="102" ht="15.0" customHeight="1">
      <c r="A102" s="24" t="s">
        <v>40</v>
      </c>
      <c r="B102" s="25" t="s">
        <v>41</v>
      </c>
      <c r="C102" s="7"/>
      <c r="D102" s="31">
        <v>111.0</v>
      </c>
      <c r="E102" s="7"/>
      <c r="F102" s="31">
        <v>116.0</v>
      </c>
      <c r="G102" s="7"/>
      <c r="H102" s="31">
        <v>116.0</v>
      </c>
      <c r="I102" s="7"/>
      <c r="J102" s="31">
        <v>90.0</v>
      </c>
      <c r="K102" s="7"/>
    </row>
    <row r="103" ht="15.75" customHeight="1">
      <c r="A103" s="24" t="s">
        <v>44</v>
      </c>
      <c r="B103" s="25" t="s">
        <v>45</v>
      </c>
      <c r="C103" s="7"/>
      <c r="D103" s="31">
        <v>135.0</v>
      </c>
      <c r="E103" s="7"/>
      <c r="F103" s="31">
        <v>147.0</v>
      </c>
      <c r="G103" s="7"/>
      <c r="H103" s="31">
        <v>115.0</v>
      </c>
      <c r="I103" s="7"/>
      <c r="J103" s="31">
        <v>103.0</v>
      </c>
      <c r="K103" s="7"/>
    </row>
    <row r="104" ht="15.75" customHeight="1">
      <c r="A104" s="24" t="s">
        <v>47</v>
      </c>
      <c r="B104" s="25" t="s">
        <v>48</v>
      </c>
      <c r="C104" s="7"/>
      <c r="D104" s="31">
        <v>145.0</v>
      </c>
      <c r="E104" s="7"/>
      <c r="F104" s="31">
        <v>126.0</v>
      </c>
      <c r="G104" s="7"/>
      <c r="H104" s="31">
        <v>135.0</v>
      </c>
      <c r="I104" s="7"/>
      <c r="J104" s="31">
        <v>122.0</v>
      </c>
      <c r="K104" s="7"/>
    </row>
    <row r="105" ht="15.0" customHeight="1">
      <c r="A105" s="24" t="s">
        <v>51</v>
      </c>
      <c r="B105" s="25" t="s">
        <v>52</v>
      </c>
      <c r="C105" s="7"/>
      <c r="D105" s="31">
        <v>382.0</v>
      </c>
      <c r="E105" s="7"/>
      <c r="F105" s="31">
        <v>343.0</v>
      </c>
      <c r="G105" s="7"/>
      <c r="H105" s="31">
        <v>315.0</v>
      </c>
      <c r="I105" s="7"/>
      <c r="J105" s="31">
        <v>364.0</v>
      </c>
      <c r="K105" s="7"/>
    </row>
    <row r="106" ht="15.0" customHeight="1">
      <c r="A106" s="24" t="s">
        <v>55</v>
      </c>
      <c r="B106" s="25" t="s">
        <v>56</v>
      </c>
      <c r="C106" s="7"/>
      <c r="D106" s="31">
        <v>71.0</v>
      </c>
      <c r="E106" s="7"/>
      <c r="F106" s="31">
        <v>80.0</v>
      </c>
      <c r="G106" s="7"/>
      <c r="H106" s="31">
        <v>75.0</v>
      </c>
      <c r="I106" s="7"/>
      <c r="J106" s="31">
        <v>69.0</v>
      </c>
      <c r="K106" s="7"/>
    </row>
    <row r="107" ht="15.0" customHeight="1">
      <c r="A107" s="24" t="s">
        <v>60</v>
      </c>
      <c r="B107" s="25" t="s">
        <v>62</v>
      </c>
      <c r="C107" s="7"/>
      <c r="D107" s="31">
        <v>163.0</v>
      </c>
      <c r="E107" s="7"/>
      <c r="F107" s="31">
        <v>158.0</v>
      </c>
      <c r="G107" s="7"/>
      <c r="H107" s="31">
        <v>148.0</v>
      </c>
      <c r="I107" s="7"/>
      <c r="J107" s="31">
        <v>135.0</v>
      </c>
      <c r="K107" s="7"/>
    </row>
    <row r="108" ht="15.0" customHeight="1">
      <c r="A108" s="24" t="s">
        <v>65</v>
      </c>
      <c r="B108" s="25" t="s">
        <v>66</v>
      </c>
      <c r="C108" s="7"/>
      <c r="D108" s="31">
        <v>470.0</v>
      </c>
      <c r="E108" s="7"/>
      <c r="F108" s="31">
        <v>459.0</v>
      </c>
      <c r="G108" s="7"/>
      <c r="H108" s="31">
        <v>393.0</v>
      </c>
      <c r="I108" s="7"/>
      <c r="J108" s="31">
        <v>371.0</v>
      </c>
      <c r="K108" s="7"/>
    </row>
    <row r="109" ht="15.0" customHeight="1">
      <c r="A109" s="24" t="s">
        <v>71</v>
      </c>
      <c r="B109" s="25" t="s">
        <v>72</v>
      </c>
      <c r="C109" s="7"/>
      <c r="D109" s="31">
        <v>505.0</v>
      </c>
      <c r="E109" s="7"/>
      <c r="F109" s="31">
        <v>476.0</v>
      </c>
      <c r="G109" s="7"/>
      <c r="H109" s="31">
        <v>434.0</v>
      </c>
      <c r="I109" s="7"/>
      <c r="J109" s="31">
        <v>392.0</v>
      </c>
      <c r="K109" s="7"/>
    </row>
    <row r="110" ht="15.0" customHeight="1">
      <c r="A110" s="24" t="s">
        <v>74</v>
      </c>
      <c r="B110" s="25" t="s">
        <v>75</v>
      </c>
      <c r="C110" s="7"/>
      <c r="D110" s="31">
        <v>115.0</v>
      </c>
      <c r="E110" s="7"/>
      <c r="F110" s="31">
        <v>113.0</v>
      </c>
      <c r="G110" s="7"/>
      <c r="H110" s="31">
        <v>90.0</v>
      </c>
      <c r="I110" s="7"/>
      <c r="J110" s="31">
        <v>83.0</v>
      </c>
      <c r="K110" s="7"/>
    </row>
    <row r="111" ht="15.0" customHeight="1">
      <c r="A111" s="24" t="s">
        <v>77</v>
      </c>
      <c r="B111" s="25" t="s">
        <v>78</v>
      </c>
      <c r="C111" s="7"/>
      <c r="D111" s="31">
        <v>165.0</v>
      </c>
      <c r="E111" s="7"/>
      <c r="F111" s="31">
        <v>136.0</v>
      </c>
      <c r="G111" s="7"/>
      <c r="H111" s="31">
        <v>137.0</v>
      </c>
      <c r="I111" s="7"/>
      <c r="J111" s="31">
        <v>111.0</v>
      </c>
      <c r="K111" s="7"/>
    </row>
    <row r="112" ht="15.0" customHeight="1">
      <c r="A112" s="24" t="s">
        <v>79</v>
      </c>
      <c r="B112" s="25" t="s">
        <v>80</v>
      </c>
      <c r="C112" s="7"/>
      <c r="D112" s="31">
        <v>383.0</v>
      </c>
      <c r="E112" s="7"/>
      <c r="F112" s="31">
        <v>376.0</v>
      </c>
      <c r="G112" s="7"/>
      <c r="H112" s="31">
        <v>339.0</v>
      </c>
      <c r="I112" s="7"/>
      <c r="J112" s="31">
        <v>269.0</v>
      </c>
      <c r="K112" s="7"/>
    </row>
    <row r="113" ht="15.0" customHeight="1">
      <c r="A113" s="24" t="s">
        <v>81</v>
      </c>
      <c r="B113" s="25" t="s">
        <v>82</v>
      </c>
      <c r="C113" s="7"/>
      <c r="D113" s="31">
        <v>520.0</v>
      </c>
      <c r="E113" s="7"/>
      <c r="F113" s="31">
        <v>501.0</v>
      </c>
      <c r="G113" s="7"/>
      <c r="H113" s="31">
        <v>412.0</v>
      </c>
      <c r="I113" s="7"/>
      <c r="J113" s="31">
        <v>407.0</v>
      </c>
      <c r="K113" s="7"/>
    </row>
    <row r="114" ht="15.0" customHeight="1">
      <c r="A114" s="24" t="s">
        <v>83</v>
      </c>
      <c r="B114" s="25" t="s">
        <v>84</v>
      </c>
      <c r="C114" s="7"/>
      <c r="D114" s="31">
        <v>173.0</v>
      </c>
      <c r="E114" s="7"/>
      <c r="F114" s="31">
        <v>154.0</v>
      </c>
      <c r="G114" s="7"/>
      <c r="H114" s="31">
        <v>132.0</v>
      </c>
      <c r="I114" s="7"/>
      <c r="J114" s="31">
        <v>143.0</v>
      </c>
      <c r="K114" s="7"/>
    </row>
    <row r="115" ht="15.0" customHeight="1">
      <c r="A115" s="15" t="s">
        <v>52</v>
      </c>
      <c r="B115" s="6"/>
      <c r="C115" s="7"/>
      <c r="D115" s="5">
        <f>sum(D100:E114)</f>
        <v>3603</v>
      </c>
      <c r="E115" s="7"/>
      <c r="F115" s="5">
        <f>sum(F100:G114)</f>
        <v>3394</v>
      </c>
      <c r="G115" s="7"/>
      <c r="H115" s="5">
        <f>sum(H100:I114)</f>
        <v>3035</v>
      </c>
      <c r="I115" s="7"/>
      <c r="J115" s="5">
        <f>sum(J100:K114)</f>
        <v>2852</v>
      </c>
      <c r="K115" s="7"/>
    </row>
    <row r="116" ht="15.0" customHeight="1">
      <c r="D116" s="33"/>
      <c r="E116" s="33"/>
      <c r="F116" s="33"/>
      <c r="G116" s="33"/>
      <c r="H116" s="33"/>
      <c r="I116" s="33"/>
      <c r="J116" s="33"/>
      <c r="K116" s="33"/>
    </row>
    <row r="117" ht="15.75" customHeight="1">
      <c r="D117" s="33"/>
      <c r="E117" s="33"/>
      <c r="F117" s="33"/>
      <c r="G117" s="33"/>
      <c r="H117" s="33"/>
      <c r="I117" s="33"/>
      <c r="J117" s="33"/>
      <c r="K117" s="33"/>
    </row>
    <row r="118" ht="15.75" customHeight="1">
      <c r="A118" s="17" t="s">
        <v>212</v>
      </c>
      <c r="B118" s="18"/>
      <c r="C118" s="4"/>
      <c r="D118" s="19" t="s">
        <v>213</v>
      </c>
      <c r="E118" s="6"/>
      <c r="F118" s="6"/>
      <c r="G118" s="6"/>
      <c r="H118" s="6"/>
      <c r="I118" s="6"/>
      <c r="J118" s="6"/>
      <c r="K118" s="7"/>
    </row>
    <row r="119" ht="15.75" customHeight="1">
      <c r="A119" s="8"/>
      <c r="C119" s="9"/>
      <c r="D119" s="22" t="s">
        <v>54</v>
      </c>
      <c r="E119" s="6"/>
      <c r="F119" s="6"/>
      <c r="G119" s="7"/>
      <c r="H119" s="22" t="s">
        <v>58</v>
      </c>
      <c r="I119" s="6"/>
      <c r="J119" s="6"/>
      <c r="K119" s="7"/>
    </row>
    <row r="120" ht="15.75" customHeight="1">
      <c r="A120" s="8"/>
      <c r="C120" s="9"/>
      <c r="D120" s="3" t="s">
        <v>214</v>
      </c>
      <c r="E120" s="4"/>
      <c r="F120" s="3" t="s">
        <v>215</v>
      </c>
      <c r="G120" s="4"/>
      <c r="H120" s="3" t="s">
        <v>216</v>
      </c>
      <c r="I120" s="4"/>
      <c r="J120" s="3" t="s">
        <v>217</v>
      </c>
      <c r="K120" s="4"/>
    </row>
    <row r="121" ht="15.75" customHeight="1">
      <c r="A121" s="10"/>
      <c r="B121" s="16"/>
      <c r="C121" s="11"/>
      <c r="D121" s="10"/>
      <c r="E121" s="11"/>
      <c r="F121" s="10"/>
      <c r="G121" s="11"/>
      <c r="H121" s="10"/>
      <c r="I121" s="11"/>
      <c r="J121" s="10"/>
      <c r="K121" s="11"/>
    </row>
    <row r="122" ht="15.75" customHeight="1">
      <c r="A122" s="21" t="s">
        <v>11</v>
      </c>
      <c r="B122" s="6"/>
      <c r="C122" s="7"/>
      <c r="D122" s="23" t="s">
        <v>218</v>
      </c>
      <c r="E122" s="7"/>
      <c r="F122" s="23" t="s">
        <v>219</v>
      </c>
      <c r="G122" s="7"/>
      <c r="H122" s="23" t="s">
        <v>220</v>
      </c>
      <c r="I122" s="7"/>
      <c r="J122" s="23" t="s">
        <v>221</v>
      </c>
      <c r="K122" s="7"/>
    </row>
    <row r="123" ht="15.75" customHeight="1">
      <c r="A123" s="24" t="s">
        <v>31</v>
      </c>
      <c r="B123" s="25" t="s">
        <v>35</v>
      </c>
      <c r="C123" s="7"/>
      <c r="D123" s="31">
        <v>126.0</v>
      </c>
      <c r="E123" s="7"/>
      <c r="F123" s="31">
        <v>138.0</v>
      </c>
      <c r="G123" s="7"/>
      <c r="H123" s="31">
        <v>97.0</v>
      </c>
      <c r="I123" s="7"/>
      <c r="J123" s="31">
        <v>97.0</v>
      </c>
      <c r="K123" s="7"/>
    </row>
    <row r="124" ht="15.0" customHeight="1">
      <c r="A124" s="24" t="s">
        <v>37</v>
      </c>
      <c r="B124" s="25" t="s">
        <v>38</v>
      </c>
      <c r="C124" s="7"/>
      <c r="D124" s="31">
        <v>57.0</v>
      </c>
      <c r="E124" s="7"/>
      <c r="F124" s="31">
        <v>56.0</v>
      </c>
      <c r="G124" s="7"/>
      <c r="H124" s="31">
        <v>40.0</v>
      </c>
      <c r="I124" s="7"/>
      <c r="J124" s="31">
        <v>56.0</v>
      </c>
      <c r="K124" s="7"/>
    </row>
    <row r="125" ht="15.0" customHeight="1">
      <c r="A125" s="24" t="s">
        <v>40</v>
      </c>
      <c r="B125" s="25" t="s">
        <v>41</v>
      </c>
      <c r="C125" s="7"/>
      <c r="D125" s="31">
        <v>70.0</v>
      </c>
      <c r="E125" s="7"/>
      <c r="F125" s="31">
        <v>85.0</v>
      </c>
      <c r="G125" s="7"/>
      <c r="H125" s="31">
        <v>75.0</v>
      </c>
      <c r="I125" s="7"/>
      <c r="J125" s="31">
        <v>57.0</v>
      </c>
      <c r="K125" s="7"/>
    </row>
    <row r="126" ht="15.0" customHeight="1">
      <c r="A126" s="24" t="s">
        <v>44</v>
      </c>
      <c r="B126" s="25" t="s">
        <v>45</v>
      </c>
      <c r="C126" s="7"/>
      <c r="D126" s="31">
        <v>81.0</v>
      </c>
      <c r="E126" s="7"/>
      <c r="F126" s="31">
        <v>100.0</v>
      </c>
      <c r="G126" s="7"/>
      <c r="H126" s="31">
        <v>81.0</v>
      </c>
      <c r="I126" s="7"/>
      <c r="J126" s="31">
        <v>85.0</v>
      </c>
      <c r="K126" s="7"/>
    </row>
    <row r="127" ht="15.0" customHeight="1">
      <c r="A127" s="24" t="s">
        <v>47</v>
      </c>
      <c r="B127" s="25" t="s">
        <v>48</v>
      </c>
      <c r="C127" s="7"/>
      <c r="D127" s="31">
        <v>94.0</v>
      </c>
      <c r="E127" s="7"/>
      <c r="F127" s="31">
        <v>103.0</v>
      </c>
      <c r="G127" s="7"/>
      <c r="H127" s="31">
        <v>77.0</v>
      </c>
      <c r="I127" s="7"/>
      <c r="J127" s="31">
        <v>87.0</v>
      </c>
      <c r="K127" s="7"/>
    </row>
    <row r="128" ht="15.0" customHeight="1">
      <c r="A128" s="24" t="s">
        <v>51</v>
      </c>
      <c r="B128" s="25" t="s">
        <v>52</v>
      </c>
      <c r="C128" s="7"/>
      <c r="D128" s="31">
        <v>308.0</v>
      </c>
      <c r="E128" s="7"/>
      <c r="F128" s="31">
        <v>285.0</v>
      </c>
      <c r="G128" s="7"/>
      <c r="H128" s="31">
        <v>260.0</v>
      </c>
      <c r="I128" s="7"/>
      <c r="J128" s="31">
        <v>284.0</v>
      </c>
      <c r="K128" s="7"/>
    </row>
    <row r="129" ht="15.0" customHeight="1">
      <c r="A129" s="24" t="s">
        <v>55</v>
      </c>
      <c r="B129" s="25" t="s">
        <v>56</v>
      </c>
      <c r="C129" s="7"/>
      <c r="D129" s="31">
        <v>57.0</v>
      </c>
      <c r="E129" s="7"/>
      <c r="F129" s="31">
        <v>55.0</v>
      </c>
      <c r="G129" s="7"/>
      <c r="H129" s="31">
        <v>52.0</v>
      </c>
      <c r="I129" s="7"/>
      <c r="J129" s="31">
        <v>53.0</v>
      </c>
      <c r="K129" s="7"/>
    </row>
    <row r="130" ht="15.0" customHeight="1">
      <c r="A130" s="24" t="s">
        <v>60</v>
      </c>
      <c r="B130" s="25" t="s">
        <v>62</v>
      </c>
      <c r="C130" s="7"/>
      <c r="D130" s="31">
        <v>116.0</v>
      </c>
      <c r="E130" s="7"/>
      <c r="F130" s="31">
        <v>133.0</v>
      </c>
      <c r="G130" s="7"/>
      <c r="H130" s="31">
        <v>106.0</v>
      </c>
      <c r="I130" s="7"/>
      <c r="J130" s="31">
        <v>124.0</v>
      </c>
      <c r="K130" s="7"/>
    </row>
    <row r="131" ht="15.0" customHeight="1">
      <c r="A131" s="24" t="s">
        <v>65</v>
      </c>
      <c r="B131" s="25" t="s">
        <v>66</v>
      </c>
      <c r="C131" s="7"/>
      <c r="D131" s="31">
        <v>320.0</v>
      </c>
      <c r="E131" s="7"/>
      <c r="F131" s="31">
        <v>335.0</v>
      </c>
      <c r="G131" s="7"/>
      <c r="H131" s="31">
        <v>284.0</v>
      </c>
      <c r="I131" s="7"/>
      <c r="J131" s="31">
        <v>323.0</v>
      </c>
      <c r="K131" s="7"/>
    </row>
    <row r="132" ht="15.0" customHeight="1">
      <c r="A132" s="24" t="s">
        <v>71</v>
      </c>
      <c r="B132" s="25" t="s">
        <v>72</v>
      </c>
      <c r="C132" s="7"/>
      <c r="D132" s="31">
        <v>344.0</v>
      </c>
      <c r="E132" s="7"/>
      <c r="F132" s="31">
        <v>340.0</v>
      </c>
      <c r="G132" s="7"/>
      <c r="H132" s="31">
        <v>299.0</v>
      </c>
      <c r="I132" s="7"/>
      <c r="J132" s="31">
        <v>302.0</v>
      </c>
      <c r="K132" s="7"/>
    </row>
    <row r="133" ht="15.0" customHeight="1">
      <c r="A133" s="24" t="s">
        <v>74</v>
      </c>
      <c r="B133" s="25" t="s">
        <v>75</v>
      </c>
      <c r="C133" s="7"/>
      <c r="D133" s="31">
        <v>94.0</v>
      </c>
      <c r="E133" s="7"/>
      <c r="F133" s="31">
        <v>81.0</v>
      </c>
      <c r="G133" s="7"/>
      <c r="H133" s="31">
        <v>73.0</v>
      </c>
      <c r="I133" s="7"/>
      <c r="J133" s="31">
        <v>77.0</v>
      </c>
      <c r="K133" s="7"/>
    </row>
    <row r="134" ht="15.0" customHeight="1">
      <c r="A134" s="24" t="s">
        <v>77</v>
      </c>
      <c r="B134" s="25" t="s">
        <v>78</v>
      </c>
      <c r="C134" s="7"/>
      <c r="D134" s="31">
        <v>109.0</v>
      </c>
      <c r="E134" s="7"/>
      <c r="F134" s="31">
        <v>125.0</v>
      </c>
      <c r="G134" s="7"/>
      <c r="H134" s="31">
        <v>90.0</v>
      </c>
      <c r="I134" s="7"/>
      <c r="J134" s="31">
        <v>95.0</v>
      </c>
      <c r="K134" s="7"/>
    </row>
    <row r="135" ht="15.0" customHeight="1">
      <c r="A135" s="24" t="s">
        <v>79</v>
      </c>
      <c r="B135" s="25" t="s">
        <v>80</v>
      </c>
      <c r="C135" s="7"/>
      <c r="D135" s="31">
        <v>256.0</v>
      </c>
      <c r="E135" s="7"/>
      <c r="F135" s="31">
        <v>252.0</v>
      </c>
      <c r="G135" s="7"/>
      <c r="H135" s="31">
        <v>208.0</v>
      </c>
      <c r="I135" s="7"/>
      <c r="J135" s="31">
        <v>194.0</v>
      </c>
      <c r="K135" s="7"/>
    </row>
    <row r="136" ht="15.75" customHeight="1">
      <c r="A136" s="24" t="s">
        <v>81</v>
      </c>
      <c r="B136" s="25" t="s">
        <v>82</v>
      </c>
      <c r="C136" s="7"/>
      <c r="D136" s="31">
        <v>341.0</v>
      </c>
      <c r="E136" s="7"/>
      <c r="F136" s="31">
        <v>345.0</v>
      </c>
      <c r="G136" s="7"/>
      <c r="H136" s="31">
        <v>276.0</v>
      </c>
      <c r="I136" s="7"/>
      <c r="J136" s="31">
        <v>283.0</v>
      </c>
      <c r="K136" s="7"/>
    </row>
    <row r="137" ht="15.75" customHeight="1">
      <c r="A137" s="24" t="s">
        <v>83</v>
      </c>
      <c r="B137" s="25" t="s">
        <v>84</v>
      </c>
      <c r="C137" s="7"/>
      <c r="D137" s="31">
        <v>111.0</v>
      </c>
      <c r="E137" s="7"/>
      <c r="F137" s="31">
        <v>96.0</v>
      </c>
      <c r="G137" s="7"/>
      <c r="H137" s="31">
        <v>107.0</v>
      </c>
      <c r="I137" s="7"/>
      <c r="J137" s="31">
        <v>109.0</v>
      </c>
      <c r="K137" s="7"/>
    </row>
    <row r="138" ht="15.75" customHeight="1">
      <c r="A138" s="15" t="s">
        <v>52</v>
      </c>
      <c r="B138" s="6"/>
      <c r="C138" s="7"/>
      <c r="D138" s="5">
        <f>sum(D123:E137)</f>
        <v>2484</v>
      </c>
      <c r="E138" s="7"/>
      <c r="F138" s="5">
        <f>sum(F123:G137)</f>
        <v>2529</v>
      </c>
      <c r="G138" s="7"/>
      <c r="H138" s="5">
        <f>sum(H123:I137)</f>
        <v>2125</v>
      </c>
      <c r="I138" s="7"/>
      <c r="J138" s="5">
        <f>sum(J123:K137)</f>
        <v>2226</v>
      </c>
      <c r="K138" s="7"/>
    </row>
    <row r="139" ht="15.75" customHeight="1">
      <c r="D139" s="33"/>
      <c r="E139" s="33"/>
      <c r="F139" s="33"/>
      <c r="G139" s="33"/>
      <c r="H139" s="33"/>
      <c r="I139" s="33"/>
      <c r="J139" s="33"/>
      <c r="K139" s="33"/>
    </row>
    <row r="140" ht="15.75" customHeight="1">
      <c r="A140" s="17" t="s">
        <v>222</v>
      </c>
      <c r="B140" s="18"/>
      <c r="C140" s="4"/>
      <c r="D140" s="19" t="s">
        <v>223</v>
      </c>
      <c r="E140" s="6"/>
      <c r="F140" s="6"/>
      <c r="G140" s="6"/>
      <c r="H140" s="6"/>
      <c r="I140" s="6"/>
      <c r="J140" s="6"/>
      <c r="K140" s="7"/>
    </row>
    <row r="141" ht="15.75" customHeight="1">
      <c r="A141" s="8"/>
      <c r="C141" s="9"/>
      <c r="D141" s="22" t="s">
        <v>61</v>
      </c>
      <c r="E141" s="6"/>
      <c r="F141" s="6"/>
      <c r="G141" s="7"/>
      <c r="H141" s="22" t="s">
        <v>63</v>
      </c>
      <c r="I141" s="6"/>
      <c r="J141" s="6"/>
      <c r="K141" s="7"/>
    </row>
    <row r="142" ht="15.75" customHeight="1">
      <c r="A142" s="8"/>
      <c r="C142" s="9"/>
      <c r="D142" s="3" t="s">
        <v>224</v>
      </c>
      <c r="E142" s="4"/>
      <c r="F142" s="3" t="s">
        <v>225</v>
      </c>
      <c r="G142" s="4"/>
      <c r="H142" s="3" t="s">
        <v>226</v>
      </c>
      <c r="I142" s="4"/>
      <c r="J142" s="3" t="s">
        <v>227</v>
      </c>
      <c r="K142" s="4"/>
    </row>
    <row r="143" ht="15.0" customHeight="1">
      <c r="A143" s="10"/>
      <c r="B143" s="16"/>
      <c r="C143" s="11"/>
      <c r="D143" s="10"/>
      <c r="E143" s="11"/>
      <c r="F143" s="10"/>
      <c r="G143" s="11"/>
      <c r="H143" s="10"/>
      <c r="I143" s="11"/>
      <c r="J143" s="10"/>
      <c r="K143" s="11"/>
    </row>
    <row r="144" ht="15.0" customHeight="1">
      <c r="A144" s="21" t="s">
        <v>11</v>
      </c>
      <c r="B144" s="6"/>
      <c r="C144" s="7"/>
      <c r="D144" s="23" t="s">
        <v>228</v>
      </c>
      <c r="E144" s="7"/>
      <c r="F144" s="23" t="s">
        <v>229</v>
      </c>
      <c r="G144" s="7"/>
      <c r="H144" s="23" t="s">
        <v>230</v>
      </c>
      <c r="I144" s="7"/>
      <c r="J144" s="23" t="s">
        <v>231</v>
      </c>
      <c r="K144" s="7"/>
    </row>
    <row r="145" ht="15.0" customHeight="1">
      <c r="A145" s="24" t="s">
        <v>31</v>
      </c>
      <c r="B145" s="25" t="s">
        <v>35</v>
      </c>
      <c r="C145" s="7"/>
      <c r="D145" s="31">
        <v>63.0</v>
      </c>
      <c r="E145" s="7"/>
      <c r="F145" s="31">
        <v>88.0</v>
      </c>
      <c r="G145" s="7"/>
      <c r="H145" s="31">
        <v>80.0</v>
      </c>
      <c r="I145" s="7"/>
      <c r="J145" s="31">
        <v>90.0</v>
      </c>
      <c r="K145" s="7"/>
    </row>
    <row r="146" ht="15.0" customHeight="1">
      <c r="A146" s="24" t="s">
        <v>37</v>
      </c>
      <c r="B146" s="25" t="s">
        <v>38</v>
      </c>
      <c r="C146" s="7"/>
      <c r="D146" s="31">
        <v>42.0</v>
      </c>
      <c r="E146" s="7"/>
      <c r="F146" s="31">
        <v>47.0</v>
      </c>
      <c r="G146" s="7"/>
      <c r="H146" s="31">
        <v>36.0</v>
      </c>
      <c r="I146" s="7"/>
      <c r="J146" s="31">
        <v>31.0</v>
      </c>
      <c r="K146" s="7"/>
    </row>
    <row r="147" ht="15.0" customHeight="1">
      <c r="A147" s="24" t="s">
        <v>40</v>
      </c>
      <c r="B147" s="25" t="s">
        <v>41</v>
      </c>
      <c r="C147" s="7"/>
      <c r="D147" s="31">
        <v>41.0</v>
      </c>
      <c r="E147" s="7"/>
      <c r="F147" s="31">
        <v>47.0</v>
      </c>
      <c r="G147" s="7"/>
      <c r="H147" s="31">
        <v>51.0</v>
      </c>
      <c r="I147" s="7"/>
      <c r="J147" s="31">
        <v>56.0</v>
      </c>
      <c r="K147" s="7"/>
    </row>
    <row r="148" ht="15.75" customHeight="1">
      <c r="A148" s="24" t="s">
        <v>44</v>
      </c>
      <c r="B148" s="25" t="s">
        <v>45</v>
      </c>
      <c r="C148" s="7"/>
      <c r="D148" s="31">
        <v>70.0</v>
      </c>
      <c r="E148" s="7"/>
      <c r="F148" s="31">
        <v>76.0</v>
      </c>
      <c r="G148" s="7"/>
      <c r="H148" s="31">
        <v>59.0</v>
      </c>
      <c r="I148" s="7"/>
      <c r="J148" s="31">
        <v>70.0</v>
      </c>
      <c r="K148" s="7"/>
    </row>
    <row r="149" ht="15.0" customHeight="1">
      <c r="A149" s="24" t="s">
        <v>47</v>
      </c>
      <c r="B149" s="25" t="s">
        <v>48</v>
      </c>
      <c r="C149" s="7"/>
      <c r="D149" s="31">
        <v>79.0</v>
      </c>
      <c r="E149" s="7"/>
      <c r="F149" s="31">
        <v>70.0</v>
      </c>
      <c r="G149" s="7"/>
      <c r="H149" s="31">
        <v>47.0</v>
      </c>
      <c r="I149" s="7"/>
      <c r="J149" s="31">
        <v>65.0</v>
      </c>
      <c r="K149" s="7"/>
    </row>
    <row r="150" ht="15.0" customHeight="1">
      <c r="A150" s="24" t="s">
        <v>51</v>
      </c>
      <c r="B150" s="25" t="s">
        <v>52</v>
      </c>
      <c r="C150" s="7"/>
      <c r="D150" s="31">
        <v>208.0</v>
      </c>
      <c r="E150" s="7"/>
      <c r="F150" s="31">
        <v>206.0</v>
      </c>
      <c r="G150" s="7"/>
      <c r="H150" s="31">
        <v>135.0</v>
      </c>
      <c r="I150" s="7"/>
      <c r="J150" s="31">
        <v>154.0</v>
      </c>
      <c r="K150" s="7"/>
    </row>
    <row r="151" ht="15.0" customHeight="1">
      <c r="A151" s="24" t="s">
        <v>55</v>
      </c>
      <c r="B151" s="25" t="s">
        <v>56</v>
      </c>
      <c r="C151" s="7"/>
      <c r="D151" s="31">
        <v>29.0</v>
      </c>
      <c r="E151" s="7"/>
      <c r="F151" s="31">
        <v>35.0</v>
      </c>
      <c r="G151" s="7"/>
      <c r="H151" s="31">
        <v>36.0</v>
      </c>
      <c r="I151" s="7"/>
      <c r="J151" s="31">
        <v>30.0</v>
      </c>
      <c r="K151" s="7"/>
    </row>
    <row r="152" ht="15.0" customHeight="1">
      <c r="A152" s="24" t="s">
        <v>60</v>
      </c>
      <c r="B152" s="25" t="s">
        <v>62</v>
      </c>
      <c r="C152" s="7"/>
      <c r="D152" s="31">
        <v>84.0</v>
      </c>
      <c r="E152" s="7"/>
      <c r="F152" s="31">
        <v>96.0</v>
      </c>
      <c r="G152" s="7"/>
      <c r="H152" s="31">
        <v>83.0</v>
      </c>
      <c r="I152" s="7"/>
      <c r="J152" s="31">
        <v>73.0</v>
      </c>
      <c r="K152" s="7"/>
    </row>
    <row r="153" ht="15.0" customHeight="1">
      <c r="A153" s="24" t="s">
        <v>65</v>
      </c>
      <c r="B153" s="25" t="s">
        <v>66</v>
      </c>
      <c r="C153" s="7"/>
      <c r="D153" s="31">
        <v>220.0</v>
      </c>
      <c r="E153" s="7"/>
      <c r="F153" s="31">
        <v>243.0</v>
      </c>
      <c r="G153" s="7"/>
      <c r="H153" s="31">
        <v>168.0</v>
      </c>
      <c r="I153" s="7"/>
      <c r="J153" s="31">
        <v>188.0</v>
      </c>
      <c r="K153" s="7"/>
    </row>
    <row r="154" ht="15.0" customHeight="1">
      <c r="A154" s="24" t="s">
        <v>71</v>
      </c>
      <c r="B154" s="25" t="s">
        <v>72</v>
      </c>
      <c r="C154" s="7"/>
      <c r="D154" s="31">
        <v>201.0</v>
      </c>
      <c r="E154" s="7"/>
      <c r="F154" s="31">
        <v>212.0</v>
      </c>
      <c r="G154" s="7"/>
      <c r="H154" s="31">
        <v>130.0</v>
      </c>
      <c r="I154" s="7"/>
      <c r="J154" s="31">
        <v>172.0</v>
      </c>
      <c r="K154" s="7"/>
    </row>
    <row r="155" ht="15.0" customHeight="1">
      <c r="A155" s="24" t="s">
        <v>74</v>
      </c>
      <c r="B155" s="25" t="s">
        <v>75</v>
      </c>
      <c r="C155" s="7"/>
      <c r="D155" s="31">
        <v>55.0</v>
      </c>
      <c r="E155" s="7"/>
      <c r="F155" s="31">
        <v>49.0</v>
      </c>
      <c r="G155" s="7"/>
      <c r="H155" s="31">
        <v>41.0</v>
      </c>
      <c r="I155" s="7"/>
      <c r="J155" s="31">
        <v>41.0</v>
      </c>
      <c r="K155" s="7"/>
    </row>
    <row r="156" ht="15.0" customHeight="1">
      <c r="A156" s="24" t="s">
        <v>77</v>
      </c>
      <c r="B156" s="25" t="s">
        <v>78</v>
      </c>
      <c r="C156" s="7"/>
      <c r="D156" s="31">
        <v>92.0</v>
      </c>
      <c r="E156" s="7"/>
      <c r="F156" s="31">
        <v>97.0</v>
      </c>
      <c r="G156" s="7"/>
      <c r="H156" s="31">
        <v>61.0</v>
      </c>
      <c r="I156" s="7"/>
      <c r="J156" s="31">
        <v>67.0</v>
      </c>
      <c r="K156" s="7"/>
    </row>
    <row r="157" ht="15.75" customHeight="1">
      <c r="A157" s="24" t="s">
        <v>79</v>
      </c>
      <c r="B157" s="25" t="s">
        <v>80</v>
      </c>
      <c r="C157" s="7"/>
      <c r="D157" s="31">
        <v>160.0</v>
      </c>
      <c r="E157" s="7"/>
      <c r="F157" s="31">
        <v>173.0</v>
      </c>
      <c r="G157" s="7"/>
      <c r="H157" s="31">
        <v>137.0</v>
      </c>
      <c r="I157" s="7"/>
      <c r="J157" s="31">
        <v>159.0</v>
      </c>
      <c r="K157" s="7"/>
    </row>
    <row r="158" ht="15.75" customHeight="1">
      <c r="A158" s="24" t="s">
        <v>81</v>
      </c>
      <c r="B158" s="25" t="s">
        <v>82</v>
      </c>
      <c r="C158" s="7"/>
      <c r="D158" s="31">
        <v>231.0</v>
      </c>
      <c r="E158" s="7"/>
      <c r="F158" s="31">
        <v>243.0</v>
      </c>
      <c r="G158" s="7"/>
      <c r="H158" s="31">
        <v>130.0</v>
      </c>
      <c r="I158" s="7"/>
      <c r="J158" s="31">
        <v>152.0</v>
      </c>
      <c r="K158" s="7"/>
    </row>
    <row r="159" ht="15.75" customHeight="1">
      <c r="A159" s="24" t="s">
        <v>83</v>
      </c>
      <c r="B159" s="25" t="s">
        <v>84</v>
      </c>
      <c r="C159" s="7"/>
      <c r="D159" s="31">
        <v>67.0</v>
      </c>
      <c r="E159" s="7"/>
      <c r="F159" s="31">
        <v>76.0</v>
      </c>
      <c r="G159" s="7"/>
      <c r="H159" s="31">
        <v>44.0</v>
      </c>
      <c r="I159" s="7"/>
      <c r="J159" s="31">
        <v>53.0</v>
      </c>
      <c r="K159" s="7"/>
    </row>
    <row r="160" ht="15.75" customHeight="1">
      <c r="A160" s="15" t="s">
        <v>52</v>
      </c>
      <c r="B160" s="6"/>
      <c r="C160" s="7"/>
      <c r="D160" s="5">
        <f>sum(D145:E159)</f>
        <v>1642</v>
      </c>
      <c r="E160" s="7"/>
      <c r="F160" s="5">
        <f>sum(F145:G159)</f>
        <v>1758</v>
      </c>
      <c r="G160" s="7"/>
      <c r="H160" s="5">
        <f>sum(H145:I159)</f>
        <v>1238</v>
      </c>
      <c r="I160" s="7"/>
      <c r="J160" s="5">
        <f>sum(J145:K159)</f>
        <v>1401</v>
      </c>
      <c r="K160" s="7"/>
    </row>
    <row r="161" ht="15.75" customHeight="1">
      <c r="D161" s="33"/>
      <c r="E161" s="33"/>
      <c r="F161" s="33"/>
      <c r="G161" s="33"/>
      <c r="H161" s="33"/>
      <c r="I161" s="33"/>
      <c r="J161" s="33"/>
      <c r="K161" s="33"/>
    </row>
    <row r="162" ht="15.75" customHeight="1">
      <c r="D162" s="33"/>
      <c r="E162" s="33"/>
      <c r="F162" s="33"/>
      <c r="G162" s="33"/>
      <c r="H162" s="33"/>
      <c r="I162" s="33"/>
      <c r="J162" s="33"/>
      <c r="K162" s="33"/>
    </row>
    <row r="163" ht="15.75" customHeight="1">
      <c r="A163" s="17" t="s">
        <v>232</v>
      </c>
      <c r="B163" s="18"/>
      <c r="C163" s="4"/>
      <c r="D163" s="19" t="s">
        <v>233</v>
      </c>
      <c r="E163" s="6"/>
      <c r="F163" s="6"/>
      <c r="G163" s="6"/>
      <c r="H163" s="6"/>
      <c r="I163" s="6"/>
      <c r="J163" s="6"/>
      <c r="K163" s="7"/>
    </row>
    <row r="164" ht="15.75" customHeight="1">
      <c r="A164" s="8"/>
      <c r="C164" s="9"/>
      <c r="D164" s="22" t="s">
        <v>69</v>
      </c>
      <c r="E164" s="6"/>
      <c r="F164" s="6"/>
      <c r="G164" s="7"/>
      <c r="H164" s="22" t="s">
        <v>73</v>
      </c>
      <c r="I164" s="6"/>
      <c r="J164" s="6"/>
      <c r="K164" s="7"/>
    </row>
    <row r="165" ht="15.75" customHeight="1">
      <c r="A165" s="8"/>
      <c r="C165" s="9"/>
      <c r="D165" s="3" t="s">
        <v>234</v>
      </c>
      <c r="E165" s="4"/>
      <c r="F165" s="3" t="s">
        <v>235</v>
      </c>
      <c r="G165" s="4"/>
      <c r="H165" s="3" t="s">
        <v>236</v>
      </c>
      <c r="I165" s="4"/>
      <c r="J165" s="3" t="s">
        <v>237</v>
      </c>
      <c r="K165" s="4"/>
    </row>
    <row r="166" ht="15.75" customHeight="1">
      <c r="A166" s="10"/>
      <c r="B166" s="16"/>
      <c r="C166" s="11"/>
      <c r="D166" s="10"/>
      <c r="E166" s="11"/>
      <c r="F166" s="10"/>
      <c r="G166" s="11"/>
      <c r="H166" s="10"/>
      <c r="I166" s="11"/>
      <c r="J166" s="10"/>
      <c r="K166" s="11"/>
    </row>
    <row r="167" ht="15.75" customHeight="1">
      <c r="A167" s="21" t="s">
        <v>11</v>
      </c>
      <c r="B167" s="6"/>
      <c r="C167" s="7"/>
      <c r="D167" s="23" t="s">
        <v>238</v>
      </c>
      <c r="E167" s="7"/>
      <c r="F167" s="23" t="s">
        <v>239</v>
      </c>
      <c r="G167" s="7"/>
      <c r="H167" s="23" t="s">
        <v>240</v>
      </c>
      <c r="I167" s="7"/>
      <c r="J167" s="23" t="s">
        <v>241</v>
      </c>
      <c r="K167" s="7"/>
    </row>
    <row r="168" ht="15.75" customHeight="1">
      <c r="A168" s="24" t="s">
        <v>31</v>
      </c>
      <c r="B168" s="25" t="s">
        <v>35</v>
      </c>
      <c r="C168" s="7"/>
      <c r="D168" s="31">
        <v>62.0</v>
      </c>
      <c r="E168" s="7"/>
      <c r="F168" s="31">
        <v>81.0</v>
      </c>
      <c r="G168" s="7"/>
      <c r="H168" s="31">
        <v>100.0</v>
      </c>
      <c r="I168" s="7"/>
      <c r="J168" s="31">
        <v>123.0</v>
      </c>
      <c r="K168" s="7"/>
    </row>
    <row r="169" ht="15.75" customHeight="1">
      <c r="A169" s="24" t="s">
        <v>37</v>
      </c>
      <c r="B169" s="25" t="s">
        <v>38</v>
      </c>
      <c r="C169" s="7"/>
      <c r="D169" s="31">
        <v>24.0</v>
      </c>
      <c r="E169" s="7"/>
      <c r="F169" s="31">
        <v>20.0</v>
      </c>
      <c r="G169" s="7"/>
      <c r="H169" s="31">
        <v>20.0</v>
      </c>
      <c r="I169" s="7"/>
      <c r="J169" s="31">
        <v>17.0</v>
      </c>
      <c r="K169" s="7"/>
    </row>
    <row r="170" ht="15.75" customHeight="1">
      <c r="A170" s="24" t="s">
        <v>40</v>
      </c>
      <c r="B170" s="25" t="s">
        <v>41</v>
      </c>
      <c r="C170" s="7"/>
      <c r="D170" s="31">
        <v>24.0</v>
      </c>
      <c r="E170" s="7"/>
      <c r="F170" s="31">
        <v>34.0</v>
      </c>
      <c r="G170" s="7"/>
      <c r="H170" s="31">
        <v>25.0</v>
      </c>
      <c r="I170" s="7"/>
      <c r="J170" s="31">
        <v>49.0</v>
      </c>
      <c r="K170" s="7"/>
    </row>
    <row r="171" ht="15.75" customHeight="1">
      <c r="A171" s="24" t="s">
        <v>44</v>
      </c>
      <c r="B171" s="25" t="s">
        <v>45</v>
      </c>
      <c r="C171" s="7"/>
      <c r="D171" s="31">
        <v>39.0</v>
      </c>
      <c r="E171" s="7"/>
      <c r="F171" s="31">
        <v>36.0</v>
      </c>
      <c r="G171" s="7"/>
      <c r="H171" s="31">
        <v>35.0</v>
      </c>
      <c r="I171" s="7"/>
      <c r="J171" s="31">
        <v>58.0</v>
      </c>
      <c r="K171" s="7"/>
    </row>
    <row r="172" ht="15.75" customHeight="1">
      <c r="A172" s="24" t="s">
        <v>47</v>
      </c>
      <c r="B172" s="25" t="s">
        <v>48</v>
      </c>
      <c r="C172" s="7"/>
      <c r="D172" s="31">
        <v>36.0</v>
      </c>
      <c r="E172" s="7"/>
      <c r="F172" s="31">
        <v>40.0</v>
      </c>
      <c r="G172" s="7"/>
      <c r="H172" s="31">
        <v>42.0</v>
      </c>
      <c r="I172" s="7"/>
      <c r="J172" s="31">
        <v>65.0</v>
      </c>
      <c r="K172" s="7"/>
    </row>
    <row r="173" ht="15.75" customHeight="1">
      <c r="A173" s="24" t="s">
        <v>51</v>
      </c>
      <c r="B173" s="25" t="s">
        <v>52</v>
      </c>
      <c r="C173" s="7"/>
      <c r="D173" s="31">
        <v>89.0</v>
      </c>
      <c r="E173" s="7"/>
      <c r="F173" s="31">
        <v>102.0</v>
      </c>
      <c r="G173" s="7"/>
      <c r="H173" s="31">
        <v>88.0</v>
      </c>
      <c r="I173" s="7"/>
      <c r="J173" s="31">
        <v>123.0</v>
      </c>
      <c r="K173" s="7"/>
    </row>
    <row r="174" ht="15.75" customHeight="1">
      <c r="A174" s="24" t="s">
        <v>55</v>
      </c>
      <c r="B174" s="25" t="s">
        <v>56</v>
      </c>
      <c r="C174" s="7"/>
      <c r="D174" s="31">
        <v>19.0</v>
      </c>
      <c r="E174" s="7"/>
      <c r="F174" s="31">
        <v>17.0</v>
      </c>
      <c r="G174" s="7"/>
      <c r="H174" s="31">
        <v>17.0</v>
      </c>
      <c r="I174" s="7"/>
      <c r="J174" s="31">
        <v>33.0</v>
      </c>
      <c r="K174" s="7"/>
    </row>
    <row r="175" ht="15.75" customHeight="1">
      <c r="A175" s="24" t="s">
        <v>60</v>
      </c>
      <c r="B175" s="25" t="s">
        <v>62</v>
      </c>
      <c r="C175" s="7"/>
      <c r="D175" s="31">
        <v>37.0</v>
      </c>
      <c r="E175" s="7"/>
      <c r="F175" s="31">
        <v>34.0</v>
      </c>
      <c r="G175" s="7"/>
      <c r="H175" s="31">
        <v>53.0</v>
      </c>
      <c r="I175" s="7"/>
      <c r="J175" s="31">
        <v>73.0</v>
      </c>
      <c r="K175" s="7"/>
    </row>
    <row r="176" ht="15.75" customHeight="1">
      <c r="A176" s="24" t="s">
        <v>65</v>
      </c>
      <c r="B176" s="25" t="s">
        <v>66</v>
      </c>
      <c r="C176" s="7"/>
      <c r="D176" s="31">
        <v>102.0</v>
      </c>
      <c r="E176" s="7"/>
      <c r="F176" s="31">
        <v>101.0</v>
      </c>
      <c r="G176" s="7"/>
      <c r="H176" s="31">
        <v>95.0</v>
      </c>
      <c r="I176" s="7"/>
      <c r="J176" s="31">
        <v>152.0</v>
      </c>
      <c r="K176" s="7"/>
    </row>
    <row r="177" ht="15.75" customHeight="1">
      <c r="A177" s="24" t="s">
        <v>71</v>
      </c>
      <c r="B177" s="25" t="s">
        <v>72</v>
      </c>
      <c r="C177" s="7"/>
      <c r="D177" s="31">
        <v>90.0</v>
      </c>
      <c r="E177" s="7"/>
      <c r="F177" s="31">
        <v>114.0</v>
      </c>
      <c r="G177" s="7"/>
      <c r="H177" s="31">
        <v>101.0</v>
      </c>
      <c r="I177" s="7"/>
      <c r="J177" s="31">
        <v>189.0</v>
      </c>
      <c r="K177" s="7"/>
    </row>
    <row r="178" ht="15.75" customHeight="1">
      <c r="A178" s="24" t="s">
        <v>74</v>
      </c>
      <c r="B178" s="25" t="s">
        <v>75</v>
      </c>
      <c r="C178" s="7"/>
      <c r="D178" s="31">
        <v>15.0</v>
      </c>
      <c r="E178" s="7"/>
      <c r="F178" s="31">
        <v>24.0</v>
      </c>
      <c r="G178" s="7"/>
      <c r="H178" s="31">
        <v>21.0</v>
      </c>
      <c r="I178" s="7"/>
      <c r="J178" s="31">
        <v>46.0</v>
      </c>
      <c r="K178" s="7"/>
    </row>
    <row r="179" ht="15.75" customHeight="1">
      <c r="A179" s="24" t="s">
        <v>77</v>
      </c>
      <c r="B179" s="25" t="s">
        <v>78</v>
      </c>
      <c r="C179" s="7"/>
      <c r="D179" s="31">
        <v>39.0</v>
      </c>
      <c r="E179" s="7"/>
      <c r="F179" s="31">
        <v>48.0</v>
      </c>
      <c r="G179" s="7"/>
      <c r="H179" s="31">
        <v>35.0</v>
      </c>
      <c r="I179" s="7"/>
      <c r="J179" s="31">
        <v>62.0</v>
      </c>
      <c r="K179" s="7"/>
    </row>
    <row r="180" ht="15.75" customHeight="1">
      <c r="A180" s="24" t="s">
        <v>79</v>
      </c>
      <c r="B180" s="25" t="s">
        <v>80</v>
      </c>
      <c r="C180" s="7"/>
      <c r="D180" s="31">
        <v>78.0</v>
      </c>
      <c r="E180" s="7"/>
      <c r="F180" s="31">
        <v>96.0</v>
      </c>
      <c r="G180" s="7"/>
      <c r="H180" s="31">
        <v>89.0</v>
      </c>
      <c r="I180" s="7"/>
      <c r="J180" s="31">
        <v>151.0</v>
      </c>
      <c r="K180" s="7"/>
    </row>
    <row r="181" ht="15.75" customHeight="1">
      <c r="A181" s="24" t="s">
        <v>81</v>
      </c>
      <c r="B181" s="25" t="s">
        <v>82</v>
      </c>
      <c r="C181" s="7"/>
      <c r="D181" s="31">
        <v>88.0</v>
      </c>
      <c r="E181" s="7"/>
      <c r="F181" s="31">
        <v>121.0</v>
      </c>
      <c r="G181" s="7"/>
      <c r="H181" s="31">
        <v>81.0</v>
      </c>
      <c r="I181" s="7"/>
      <c r="J181" s="31">
        <v>151.0</v>
      </c>
      <c r="K181" s="7"/>
    </row>
    <row r="182" ht="15.75" customHeight="1">
      <c r="A182" s="24" t="s">
        <v>83</v>
      </c>
      <c r="B182" s="25" t="s">
        <v>84</v>
      </c>
      <c r="C182" s="7"/>
      <c r="D182" s="31">
        <v>30.0</v>
      </c>
      <c r="E182" s="7"/>
      <c r="F182" s="31">
        <v>23.0</v>
      </c>
      <c r="G182" s="7"/>
      <c r="H182" s="31">
        <v>23.0</v>
      </c>
      <c r="I182" s="7"/>
      <c r="J182" s="31">
        <v>59.0</v>
      </c>
      <c r="K182" s="7"/>
    </row>
    <row r="183" ht="15.75" customHeight="1">
      <c r="A183" s="15" t="s">
        <v>52</v>
      </c>
      <c r="B183" s="6"/>
      <c r="C183" s="7"/>
      <c r="D183" s="5">
        <f>sum(D168:E182)</f>
        <v>772</v>
      </c>
      <c r="E183" s="7"/>
      <c r="F183" s="5">
        <f>sum(F168:G182)</f>
        <v>891</v>
      </c>
      <c r="G183" s="7"/>
      <c r="H183" s="5">
        <f>sum(H168:I182)</f>
        <v>825</v>
      </c>
      <c r="I183" s="7"/>
      <c r="J183" s="5">
        <f>sum(J168:K182)</f>
        <v>1351</v>
      </c>
      <c r="K183" s="7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5"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H20:I20"/>
    <mergeCell ref="J20:K20"/>
    <mergeCell ref="H21:I21"/>
    <mergeCell ref="J21:K21"/>
    <mergeCell ref="H22:I22"/>
    <mergeCell ref="J22:K22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4:E24"/>
    <mergeCell ref="F24:G24"/>
    <mergeCell ref="F33:G33"/>
    <mergeCell ref="H33:I33"/>
    <mergeCell ref="A32:C32"/>
    <mergeCell ref="D32:E32"/>
    <mergeCell ref="F32:G32"/>
    <mergeCell ref="H32:I32"/>
    <mergeCell ref="J32:K32"/>
    <mergeCell ref="D33:E33"/>
    <mergeCell ref="J33:K33"/>
    <mergeCell ref="H24:I24"/>
    <mergeCell ref="J24:K24"/>
    <mergeCell ref="B22:C22"/>
    <mergeCell ref="B23:C23"/>
    <mergeCell ref="D23:E23"/>
    <mergeCell ref="F23:G23"/>
    <mergeCell ref="H23:I23"/>
    <mergeCell ref="J23:K23"/>
    <mergeCell ref="B24:C24"/>
    <mergeCell ref="D29:G29"/>
    <mergeCell ref="H29:K29"/>
    <mergeCell ref="D30:E31"/>
    <mergeCell ref="F30:G31"/>
    <mergeCell ref="H30:I31"/>
    <mergeCell ref="J30:K31"/>
    <mergeCell ref="A25:C25"/>
    <mergeCell ref="D25:E25"/>
    <mergeCell ref="F25:G25"/>
    <mergeCell ref="H25:I25"/>
    <mergeCell ref="J25:K25"/>
    <mergeCell ref="A28:C31"/>
    <mergeCell ref="D28:K28"/>
    <mergeCell ref="D35:E35"/>
    <mergeCell ref="F35:G35"/>
    <mergeCell ref="H35:I35"/>
    <mergeCell ref="J35:K35"/>
    <mergeCell ref="B33:C33"/>
    <mergeCell ref="B34:C34"/>
    <mergeCell ref="D34:E34"/>
    <mergeCell ref="F34:G34"/>
    <mergeCell ref="H34:I34"/>
    <mergeCell ref="J34:K34"/>
    <mergeCell ref="B35:C35"/>
    <mergeCell ref="F37:G37"/>
    <mergeCell ref="H37:I37"/>
    <mergeCell ref="B36:C36"/>
    <mergeCell ref="D36:E36"/>
    <mergeCell ref="F36:G36"/>
    <mergeCell ref="H36:I36"/>
    <mergeCell ref="J36:K36"/>
    <mergeCell ref="D37:E37"/>
    <mergeCell ref="J37:K37"/>
    <mergeCell ref="H39:I39"/>
    <mergeCell ref="J39:K39"/>
    <mergeCell ref="H40:I40"/>
    <mergeCell ref="J40:K40"/>
    <mergeCell ref="H41:I41"/>
    <mergeCell ref="J41:K41"/>
    <mergeCell ref="B37:C37"/>
    <mergeCell ref="B38:C38"/>
    <mergeCell ref="D38:E38"/>
    <mergeCell ref="F38:G38"/>
    <mergeCell ref="H38:I38"/>
    <mergeCell ref="J38:K38"/>
    <mergeCell ref="B39:C39"/>
    <mergeCell ref="D39:E39"/>
    <mergeCell ref="F39:G39"/>
    <mergeCell ref="B40:C40"/>
    <mergeCell ref="D40:E40"/>
    <mergeCell ref="F40:G40"/>
    <mergeCell ref="D41:E41"/>
    <mergeCell ref="F41:G41"/>
    <mergeCell ref="H43:I43"/>
    <mergeCell ref="J43:K43"/>
    <mergeCell ref="H44:I44"/>
    <mergeCell ref="J44:K44"/>
    <mergeCell ref="H45:I45"/>
    <mergeCell ref="J45:K45"/>
    <mergeCell ref="B41:C41"/>
    <mergeCell ref="B42:C42"/>
    <mergeCell ref="D42:E42"/>
    <mergeCell ref="F42:G42"/>
    <mergeCell ref="H42:I42"/>
    <mergeCell ref="J42:K42"/>
    <mergeCell ref="B43:C43"/>
    <mergeCell ref="D43:E43"/>
    <mergeCell ref="F43:G43"/>
    <mergeCell ref="B44:C44"/>
    <mergeCell ref="D44:E44"/>
    <mergeCell ref="F44:G44"/>
    <mergeCell ref="D45:E45"/>
    <mergeCell ref="F45:G45"/>
    <mergeCell ref="H47:I47"/>
    <mergeCell ref="J47:K47"/>
    <mergeCell ref="H48:I48"/>
    <mergeCell ref="J48:K48"/>
    <mergeCell ref="D51:K51"/>
    <mergeCell ref="H52:K52"/>
    <mergeCell ref="B45:C45"/>
    <mergeCell ref="B46:C46"/>
    <mergeCell ref="D46:E46"/>
    <mergeCell ref="F46:G46"/>
    <mergeCell ref="H46:I46"/>
    <mergeCell ref="J46:K46"/>
    <mergeCell ref="B47:C47"/>
    <mergeCell ref="D53:E54"/>
    <mergeCell ref="F53:G54"/>
    <mergeCell ref="H53:I54"/>
    <mergeCell ref="J53:K54"/>
    <mergeCell ref="D47:E47"/>
    <mergeCell ref="F47:G47"/>
    <mergeCell ref="A48:C48"/>
    <mergeCell ref="D48:E48"/>
    <mergeCell ref="F48:G48"/>
    <mergeCell ref="A51:C54"/>
    <mergeCell ref="D52:G52"/>
    <mergeCell ref="H62:I62"/>
    <mergeCell ref="J62:K62"/>
    <mergeCell ref="H63:I63"/>
    <mergeCell ref="J63:K63"/>
    <mergeCell ref="H64:I64"/>
    <mergeCell ref="J64:K64"/>
    <mergeCell ref="D62:E62"/>
    <mergeCell ref="F62:G62"/>
    <mergeCell ref="B63:C63"/>
    <mergeCell ref="D63:E63"/>
    <mergeCell ref="F63:G63"/>
    <mergeCell ref="D64:E64"/>
    <mergeCell ref="F64:G64"/>
    <mergeCell ref="F56:G56"/>
    <mergeCell ref="H56:I56"/>
    <mergeCell ref="A55:C55"/>
    <mergeCell ref="D55:E55"/>
    <mergeCell ref="F55:G55"/>
    <mergeCell ref="H55:I55"/>
    <mergeCell ref="J55:K55"/>
    <mergeCell ref="D56:E56"/>
    <mergeCell ref="J56:K56"/>
    <mergeCell ref="H58:I58"/>
    <mergeCell ref="J58:K58"/>
    <mergeCell ref="H59:I59"/>
    <mergeCell ref="J59:K59"/>
    <mergeCell ref="H60:I60"/>
    <mergeCell ref="J60:K60"/>
    <mergeCell ref="B56:C56"/>
    <mergeCell ref="B57:C57"/>
    <mergeCell ref="D57:E57"/>
    <mergeCell ref="F57:G57"/>
    <mergeCell ref="H57:I57"/>
    <mergeCell ref="J57:K57"/>
    <mergeCell ref="B58:C58"/>
    <mergeCell ref="D58:E58"/>
    <mergeCell ref="F58:G58"/>
    <mergeCell ref="B59:C59"/>
    <mergeCell ref="D59:E59"/>
    <mergeCell ref="F59:G59"/>
    <mergeCell ref="D60:E60"/>
    <mergeCell ref="F60:G60"/>
    <mergeCell ref="B60:C60"/>
    <mergeCell ref="B61:C61"/>
    <mergeCell ref="D61:E61"/>
    <mergeCell ref="F61:G61"/>
    <mergeCell ref="H61:I61"/>
    <mergeCell ref="J61:K61"/>
    <mergeCell ref="B62:C62"/>
    <mergeCell ref="D66:E66"/>
    <mergeCell ref="F66:G66"/>
    <mergeCell ref="H70:I70"/>
    <mergeCell ref="J70:K70"/>
    <mergeCell ref="H71:I71"/>
    <mergeCell ref="J71:K71"/>
    <mergeCell ref="D73:K73"/>
    <mergeCell ref="H74:K74"/>
    <mergeCell ref="D70:E70"/>
    <mergeCell ref="F70:G70"/>
    <mergeCell ref="A71:C71"/>
    <mergeCell ref="D71:E71"/>
    <mergeCell ref="F71:G71"/>
    <mergeCell ref="A73:C76"/>
    <mergeCell ref="D74:G74"/>
    <mergeCell ref="F78:G78"/>
    <mergeCell ref="H78:I78"/>
    <mergeCell ref="A77:C77"/>
    <mergeCell ref="D77:E77"/>
    <mergeCell ref="F77:G77"/>
    <mergeCell ref="H77:I77"/>
    <mergeCell ref="J77:K77"/>
    <mergeCell ref="D78:E78"/>
    <mergeCell ref="J78:K78"/>
    <mergeCell ref="H80:I80"/>
    <mergeCell ref="J80:K80"/>
    <mergeCell ref="B78:C78"/>
    <mergeCell ref="B79:C79"/>
    <mergeCell ref="D79:E79"/>
    <mergeCell ref="F79:G79"/>
    <mergeCell ref="H79:I79"/>
    <mergeCell ref="J79:K79"/>
    <mergeCell ref="B80:C80"/>
    <mergeCell ref="H66:I66"/>
    <mergeCell ref="J66:K66"/>
    <mergeCell ref="B64:C64"/>
    <mergeCell ref="B65:C65"/>
    <mergeCell ref="D65:E65"/>
    <mergeCell ref="F65:G65"/>
    <mergeCell ref="H65:I65"/>
    <mergeCell ref="J65:K65"/>
    <mergeCell ref="B66:C66"/>
    <mergeCell ref="F68:G68"/>
    <mergeCell ref="H68:I68"/>
    <mergeCell ref="B67:C67"/>
    <mergeCell ref="D67:E67"/>
    <mergeCell ref="F67:G67"/>
    <mergeCell ref="H67:I67"/>
    <mergeCell ref="J67:K67"/>
    <mergeCell ref="D68:E68"/>
    <mergeCell ref="J68:K68"/>
    <mergeCell ref="B68:C68"/>
    <mergeCell ref="B69:C69"/>
    <mergeCell ref="D69:E69"/>
    <mergeCell ref="F69:G69"/>
    <mergeCell ref="H69:I69"/>
    <mergeCell ref="J69:K69"/>
    <mergeCell ref="B70:C70"/>
    <mergeCell ref="D75:E76"/>
    <mergeCell ref="F75:G76"/>
    <mergeCell ref="H75:I76"/>
    <mergeCell ref="J75:K76"/>
    <mergeCell ref="D80:E80"/>
    <mergeCell ref="F80:G80"/>
    <mergeCell ref="B81:C81"/>
    <mergeCell ref="D81:E81"/>
    <mergeCell ref="F81:G81"/>
    <mergeCell ref="H81:I81"/>
    <mergeCell ref="J81:K81"/>
    <mergeCell ref="H89:I89"/>
    <mergeCell ref="J89:K89"/>
    <mergeCell ref="H90:I90"/>
    <mergeCell ref="J90:K90"/>
    <mergeCell ref="H91:I91"/>
    <mergeCell ref="J91:K91"/>
    <mergeCell ref="D89:E89"/>
    <mergeCell ref="F89:G89"/>
    <mergeCell ref="B90:C90"/>
    <mergeCell ref="D90:E90"/>
    <mergeCell ref="F90:G90"/>
    <mergeCell ref="D91:E91"/>
    <mergeCell ref="F91:G91"/>
    <mergeCell ref="F83:G83"/>
    <mergeCell ref="H83:I83"/>
    <mergeCell ref="B82:C82"/>
    <mergeCell ref="D82:E82"/>
    <mergeCell ref="F82:G82"/>
    <mergeCell ref="H82:I82"/>
    <mergeCell ref="J82:K82"/>
    <mergeCell ref="D83:E83"/>
    <mergeCell ref="J83:K83"/>
    <mergeCell ref="H85:I85"/>
    <mergeCell ref="J85:K85"/>
    <mergeCell ref="H86:I86"/>
    <mergeCell ref="J86:K86"/>
    <mergeCell ref="H87:I87"/>
    <mergeCell ref="J87:K87"/>
    <mergeCell ref="B83:C83"/>
    <mergeCell ref="B84:C84"/>
    <mergeCell ref="D84:E84"/>
    <mergeCell ref="F84:G84"/>
    <mergeCell ref="H84:I84"/>
    <mergeCell ref="J84:K84"/>
    <mergeCell ref="B85:C85"/>
    <mergeCell ref="D85:E85"/>
    <mergeCell ref="F85:G85"/>
    <mergeCell ref="B86:C86"/>
    <mergeCell ref="D86:E86"/>
    <mergeCell ref="F86:G86"/>
    <mergeCell ref="D87:E87"/>
    <mergeCell ref="F87:G87"/>
    <mergeCell ref="B87:C87"/>
    <mergeCell ref="B88:C88"/>
    <mergeCell ref="D88:E88"/>
    <mergeCell ref="F88:G88"/>
    <mergeCell ref="H88:I88"/>
    <mergeCell ref="J88:K88"/>
    <mergeCell ref="B89:C89"/>
    <mergeCell ref="D93:E93"/>
    <mergeCell ref="F93:G93"/>
    <mergeCell ref="H137:I137"/>
    <mergeCell ref="J137:K137"/>
    <mergeCell ref="H138:I138"/>
    <mergeCell ref="J138:K138"/>
    <mergeCell ref="D140:K140"/>
    <mergeCell ref="H141:K141"/>
    <mergeCell ref="D137:E137"/>
    <mergeCell ref="F137:G137"/>
    <mergeCell ref="A138:C138"/>
    <mergeCell ref="D138:E138"/>
    <mergeCell ref="F138:G138"/>
    <mergeCell ref="A140:C143"/>
    <mergeCell ref="D141:G141"/>
    <mergeCell ref="H147:I147"/>
    <mergeCell ref="J147:K147"/>
    <mergeCell ref="B145:C145"/>
    <mergeCell ref="B146:C146"/>
    <mergeCell ref="D146:E146"/>
    <mergeCell ref="F146:G146"/>
    <mergeCell ref="H146:I146"/>
    <mergeCell ref="J146:K146"/>
    <mergeCell ref="B147:C147"/>
    <mergeCell ref="H133:I133"/>
    <mergeCell ref="J133:K133"/>
    <mergeCell ref="B131:C131"/>
    <mergeCell ref="B132:C132"/>
    <mergeCell ref="D132:E132"/>
    <mergeCell ref="F132:G132"/>
    <mergeCell ref="H132:I132"/>
    <mergeCell ref="J132:K132"/>
    <mergeCell ref="B133:C133"/>
    <mergeCell ref="F135:G135"/>
    <mergeCell ref="H135:I135"/>
    <mergeCell ref="B134:C134"/>
    <mergeCell ref="D134:E134"/>
    <mergeCell ref="F134:G134"/>
    <mergeCell ref="H134:I134"/>
    <mergeCell ref="J134:K134"/>
    <mergeCell ref="D135:E135"/>
    <mergeCell ref="J135:K135"/>
    <mergeCell ref="B135:C135"/>
    <mergeCell ref="B136:C136"/>
    <mergeCell ref="D136:E136"/>
    <mergeCell ref="F136:G136"/>
    <mergeCell ref="H136:I136"/>
    <mergeCell ref="J136:K136"/>
    <mergeCell ref="B137:C137"/>
    <mergeCell ref="D142:E143"/>
    <mergeCell ref="F142:G143"/>
    <mergeCell ref="H142:I143"/>
    <mergeCell ref="J142:K143"/>
    <mergeCell ref="D147:E147"/>
    <mergeCell ref="F147:G147"/>
    <mergeCell ref="B148:C148"/>
    <mergeCell ref="D148:E148"/>
    <mergeCell ref="F148:G148"/>
    <mergeCell ref="H148:I148"/>
    <mergeCell ref="J148:K148"/>
    <mergeCell ref="H156:I156"/>
    <mergeCell ref="J156:K156"/>
    <mergeCell ref="H157:I157"/>
    <mergeCell ref="J157:K157"/>
    <mergeCell ref="H158:I158"/>
    <mergeCell ref="J158:K158"/>
    <mergeCell ref="D156:E156"/>
    <mergeCell ref="F156:G156"/>
    <mergeCell ref="B157:C157"/>
    <mergeCell ref="D157:E157"/>
    <mergeCell ref="F157:G157"/>
    <mergeCell ref="D158:E158"/>
    <mergeCell ref="F158:G158"/>
    <mergeCell ref="F150:G150"/>
    <mergeCell ref="H150:I150"/>
    <mergeCell ref="B149:C149"/>
    <mergeCell ref="D149:E149"/>
    <mergeCell ref="F149:G149"/>
    <mergeCell ref="H149:I149"/>
    <mergeCell ref="J149:K149"/>
    <mergeCell ref="D150:E150"/>
    <mergeCell ref="J150:K150"/>
    <mergeCell ref="H152:I152"/>
    <mergeCell ref="J152:K152"/>
    <mergeCell ref="H153:I153"/>
    <mergeCell ref="J153:K153"/>
    <mergeCell ref="H154:I154"/>
    <mergeCell ref="J154:K154"/>
    <mergeCell ref="B150:C150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B153:C153"/>
    <mergeCell ref="D153:E153"/>
    <mergeCell ref="F153:G153"/>
    <mergeCell ref="D154:E154"/>
    <mergeCell ref="F154:G154"/>
    <mergeCell ref="B154:C154"/>
    <mergeCell ref="B155:C155"/>
    <mergeCell ref="D155:E155"/>
    <mergeCell ref="F155:G155"/>
    <mergeCell ref="H155:I155"/>
    <mergeCell ref="J155:K155"/>
    <mergeCell ref="B156:C156"/>
    <mergeCell ref="D160:E160"/>
    <mergeCell ref="F160:G160"/>
    <mergeCell ref="D168:E168"/>
    <mergeCell ref="D169:E169"/>
    <mergeCell ref="F169:G169"/>
    <mergeCell ref="H169:I169"/>
    <mergeCell ref="J169:K169"/>
    <mergeCell ref="D170:E170"/>
    <mergeCell ref="F170:G170"/>
    <mergeCell ref="D171:E171"/>
    <mergeCell ref="F171:G171"/>
    <mergeCell ref="H171:I171"/>
    <mergeCell ref="J171:K171"/>
    <mergeCell ref="F172:G172"/>
    <mergeCell ref="H172:I172"/>
    <mergeCell ref="J172:K172"/>
    <mergeCell ref="D172:E172"/>
    <mergeCell ref="D173:E173"/>
    <mergeCell ref="F173:G173"/>
    <mergeCell ref="H173:I173"/>
    <mergeCell ref="J173:K173"/>
    <mergeCell ref="B173:C173"/>
    <mergeCell ref="D174:E174"/>
    <mergeCell ref="F174:G174"/>
    <mergeCell ref="H174:I174"/>
    <mergeCell ref="J174:K174"/>
    <mergeCell ref="D175:E175"/>
    <mergeCell ref="J175:K175"/>
    <mergeCell ref="H177:I177"/>
    <mergeCell ref="J177:K177"/>
    <mergeCell ref="H178:I178"/>
    <mergeCell ref="J178:K178"/>
    <mergeCell ref="H179:I179"/>
    <mergeCell ref="J179:K179"/>
    <mergeCell ref="B174:C174"/>
    <mergeCell ref="B176:C176"/>
    <mergeCell ref="D176:E176"/>
    <mergeCell ref="F176:G176"/>
    <mergeCell ref="H176:I176"/>
    <mergeCell ref="J176:K176"/>
    <mergeCell ref="B177:C177"/>
    <mergeCell ref="D177:E177"/>
    <mergeCell ref="F177:G177"/>
    <mergeCell ref="B178:C178"/>
    <mergeCell ref="D178:E178"/>
    <mergeCell ref="F178:G178"/>
    <mergeCell ref="D179:E179"/>
    <mergeCell ref="F179:G179"/>
    <mergeCell ref="D181:E181"/>
    <mergeCell ref="F181:G181"/>
    <mergeCell ref="B182:C182"/>
    <mergeCell ref="D182:E182"/>
    <mergeCell ref="F182:G182"/>
    <mergeCell ref="A183:C183"/>
    <mergeCell ref="D183:E183"/>
    <mergeCell ref="F183:G183"/>
    <mergeCell ref="H181:I181"/>
    <mergeCell ref="J181:K181"/>
    <mergeCell ref="H182:I182"/>
    <mergeCell ref="J182:K182"/>
    <mergeCell ref="H183:I183"/>
    <mergeCell ref="J183:K183"/>
    <mergeCell ref="B179:C179"/>
    <mergeCell ref="B180:C180"/>
    <mergeCell ref="D180:E180"/>
    <mergeCell ref="F180:G180"/>
    <mergeCell ref="H180:I180"/>
    <mergeCell ref="J180:K180"/>
    <mergeCell ref="B181:C181"/>
    <mergeCell ref="H160:I160"/>
    <mergeCell ref="J160:K160"/>
    <mergeCell ref="B158:C158"/>
    <mergeCell ref="B159:C159"/>
    <mergeCell ref="D159:E159"/>
    <mergeCell ref="F159:G159"/>
    <mergeCell ref="H159:I159"/>
    <mergeCell ref="J159:K159"/>
    <mergeCell ref="A160:C160"/>
    <mergeCell ref="D163:K163"/>
    <mergeCell ref="D164:G164"/>
    <mergeCell ref="H164:K164"/>
    <mergeCell ref="D165:E166"/>
    <mergeCell ref="F165:G166"/>
    <mergeCell ref="H165:I166"/>
    <mergeCell ref="J165:K166"/>
    <mergeCell ref="D167:E167"/>
    <mergeCell ref="F167:G167"/>
    <mergeCell ref="H167:I167"/>
    <mergeCell ref="J167:K167"/>
    <mergeCell ref="F168:G168"/>
    <mergeCell ref="H168:I168"/>
    <mergeCell ref="J168:K168"/>
    <mergeCell ref="H170:I170"/>
    <mergeCell ref="J170:K170"/>
    <mergeCell ref="A163:C166"/>
    <mergeCell ref="A167:C167"/>
    <mergeCell ref="B168:C168"/>
    <mergeCell ref="B169:C169"/>
    <mergeCell ref="B170:C170"/>
    <mergeCell ref="B171:C171"/>
    <mergeCell ref="B172:C172"/>
    <mergeCell ref="B175:C175"/>
    <mergeCell ref="F175:G175"/>
    <mergeCell ref="H175:I175"/>
    <mergeCell ref="F100:G100"/>
    <mergeCell ref="H100:I100"/>
    <mergeCell ref="A99:C99"/>
    <mergeCell ref="D99:E99"/>
    <mergeCell ref="F99:G99"/>
    <mergeCell ref="H99:I99"/>
    <mergeCell ref="J99:K99"/>
    <mergeCell ref="D100:E100"/>
    <mergeCell ref="J100:K100"/>
    <mergeCell ref="H93:I93"/>
    <mergeCell ref="J93:K93"/>
    <mergeCell ref="A93:C93"/>
    <mergeCell ref="D95:K95"/>
    <mergeCell ref="D96:G96"/>
    <mergeCell ref="H96:K96"/>
    <mergeCell ref="D97:E98"/>
    <mergeCell ref="F97:G98"/>
    <mergeCell ref="H97:I98"/>
    <mergeCell ref="J97:K98"/>
    <mergeCell ref="B91:C91"/>
    <mergeCell ref="B92:C92"/>
    <mergeCell ref="D92:E92"/>
    <mergeCell ref="F92:G92"/>
    <mergeCell ref="H92:I92"/>
    <mergeCell ref="J92:K92"/>
    <mergeCell ref="A95:C98"/>
    <mergeCell ref="D102:E102"/>
    <mergeCell ref="F102:G102"/>
    <mergeCell ref="H102:I102"/>
    <mergeCell ref="J102:K102"/>
    <mergeCell ref="B100:C100"/>
    <mergeCell ref="B101:C101"/>
    <mergeCell ref="D101:E101"/>
    <mergeCell ref="F101:G101"/>
    <mergeCell ref="H101:I101"/>
    <mergeCell ref="J101:K101"/>
    <mergeCell ref="B102:C102"/>
    <mergeCell ref="F104:G104"/>
    <mergeCell ref="H104:I104"/>
    <mergeCell ref="B103:C103"/>
    <mergeCell ref="D103:E103"/>
    <mergeCell ref="F103:G103"/>
    <mergeCell ref="H103:I103"/>
    <mergeCell ref="J103:K103"/>
    <mergeCell ref="D104:E104"/>
    <mergeCell ref="J104:K104"/>
    <mergeCell ref="H106:I106"/>
    <mergeCell ref="J106:K106"/>
    <mergeCell ref="H107:I107"/>
    <mergeCell ref="J107:K107"/>
    <mergeCell ref="H108:I108"/>
    <mergeCell ref="J108:K108"/>
    <mergeCell ref="B104:C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B107:C107"/>
    <mergeCell ref="D107:E107"/>
    <mergeCell ref="F107:G107"/>
    <mergeCell ref="D108:E108"/>
    <mergeCell ref="F108:G108"/>
    <mergeCell ref="H110:I110"/>
    <mergeCell ref="J110:K110"/>
    <mergeCell ref="H111:I111"/>
    <mergeCell ref="J111:K111"/>
    <mergeCell ref="H112:I112"/>
    <mergeCell ref="J112:K112"/>
    <mergeCell ref="B108:C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B111:C111"/>
    <mergeCell ref="D111:E111"/>
    <mergeCell ref="F111:G111"/>
    <mergeCell ref="D112:E112"/>
    <mergeCell ref="F112:G112"/>
    <mergeCell ref="H114:I114"/>
    <mergeCell ref="J114:K114"/>
    <mergeCell ref="H115:I115"/>
    <mergeCell ref="J115:K115"/>
    <mergeCell ref="D118:K118"/>
    <mergeCell ref="H119:K119"/>
    <mergeCell ref="B112:C112"/>
    <mergeCell ref="B113:C113"/>
    <mergeCell ref="D113:E113"/>
    <mergeCell ref="F113:G113"/>
    <mergeCell ref="H113:I113"/>
    <mergeCell ref="J113:K113"/>
    <mergeCell ref="B114:C114"/>
    <mergeCell ref="D120:E121"/>
    <mergeCell ref="F120:G121"/>
    <mergeCell ref="H120:I121"/>
    <mergeCell ref="J120:K121"/>
    <mergeCell ref="D114:E114"/>
    <mergeCell ref="F114:G114"/>
    <mergeCell ref="A115:C115"/>
    <mergeCell ref="D115:E115"/>
    <mergeCell ref="F115:G115"/>
    <mergeCell ref="A118:C121"/>
    <mergeCell ref="D119:G119"/>
    <mergeCell ref="H129:I129"/>
    <mergeCell ref="J129:K129"/>
    <mergeCell ref="H130:I130"/>
    <mergeCell ref="J130:K130"/>
    <mergeCell ref="H131:I131"/>
    <mergeCell ref="J131:K131"/>
    <mergeCell ref="D129:E129"/>
    <mergeCell ref="F129:G129"/>
    <mergeCell ref="B130:C130"/>
    <mergeCell ref="D130:E130"/>
    <mergeCell ref="F130:G130"/>
    <mergeCell ref="D131:E131"/>
    <mergeCell ref="F131:G131"/>
    <mergeCell ref="F123:G123"/>
    <mergeCell ref="H123:I123"/>
    <mergeCell ref="A122:C122"/>
    <mergeCell ref="D122:E122"/>
    <mergeCell ref="F122:G122"/>
    <mergeCell ref="H122:I122"/>
    <mergeCell ref="J122:K122"/>
    <mergeCell ref="D123:E123"/>
    <mergeCell ref="J123:K123"/>
    <mergeCell ref="H125:I125"/>
    <mergeCell ref="J125:K125"/>
    <mergeCell ref="H126:I126"/>
    <mergeCell ref="J126:K126"/>
    <mergeCell ref="H127:I127"/>
    <mergeCell ref="J127:K127"/>
    <mergeCell ref="B123:C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B126:C126"/>
    <mergeCell ref="D126:E126"/>
    <mergeCell ref="F126:G126"/>
    <mergeCell ref="D127:E127"/>
    <mergeCell ref="F127:G127"/>
    <mergeCell ref="B127:C127"/>
    <mergeCell ref="B128:C128"/>
    <mergeCell ref="D128:E128"/>
    <mergeCell ref="F128:G128"/>
    <mergeCell ref="H128:I128"/>
    <mergeCell ref="J128:K128"/>
    <mergeCell ref="B129:C129"/>
    <mergeCell ref="D133:E133"/>
    <mergeCell ref="F133:G133"/>
    <mergeCell ref="F145:G145"/>
    <mergeCell ref="H145:I145"/>
    <mergeCell ref="A144:C144"/>
    <mergeCell ref="D144:E144"/>
    <mergeCell ref="F144:G144"/>
    <mergeCell ref="H144:I144"/>
    <mergeCell ref="J144:K144"/>
    <mergeCell ref="D145:E145"/>
    <mergeCell ref="J145:K14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8</v>
      </c>
      <c r="B1" s="14" t="s">
        <v>10</v>
      </c>
    </row>
    <row r="5">
      <c r="B5" s="16"/>
      <c r="C5" s="16"/>
      <c r="D5" s="16"/>
      <c r="E5" s="16"/>
      <c r="F5" s="16"/>
      <c r="G5" s="16"/>
      <c r="H5" s="16"/>
    </row>
    <row r="6">
      <c r="A6" s="17" t="s">
        <v>17</v>
      </c>
      <c r="B6" s="18"/>
      <c r="C6" s="4"/>
      <c r="D6" s="3" t="s">
        <v>18</v>
      </c>
      <c r="E6" s="18"/>
      <c r="F6" s="18"/>
      <c r="G6" s="18"/>
      <c r="H6" s="18"/>
      <c r="I6" s="4"/>
      <c r="J6" s="3" t="s">
        <v>19</v>
      </c>
      <c r="K6" s="4"/>
    </row>
    <row r="7" ht="15.0" customHeight="1">
      <c r="A7" s="8"/>
      <c r="C7" s="9"/>
      <c r="D7" s="10"/>
      <c r="E7" s="16"/>
      <c r="F7" s="16"/>
      <c r="G7" s="16"/>
      <c r="H7" s="16"/>
      <c r="I7" s="11"/>
      <c r="J7" s="8"/>
      <c r="K7" s="9"/>
    </row>
    <row r="8">
      <c r="A8" s="8"/>
      <c r="C8" s="9"/>
      <c r="D8" s="3" t="s">
        <v>22</v>
      </c>
      <c r="E8" s="4"/>
      <c r="F8" s="3" t="s">
        <v>23</v>
      </c>
      <c r="G8" s="4"/>
      <c r="H8" s="3" t="s">
        <v>26</v>
      </c>
      <c r="I8" s="4"/>
      <c r="J8" s="8"/>
      <c r="K8" s="9"/>
    </row>
    <row r="9">
      <c r="A9" s="10"/>
      <c r="B9" s="16"/>
      <c r="C9" s="11"/>
      <c r="D9" s="10"/>
      <c r="E9" s="11"/>
      <c r="F9" s="10"/>
      <c r="G9" s="11"/>
      <c r="H9" s="10"/>
      <c r="I9" s="11"/>
      <c r="J9" s="10"/>
      <c r="K9" s="11"/>
    </row>
    <row r="10">
      <c r="A10" s="21" t="s">
        <v>11</v>
      </c>
      <c r="B10" s="6"/>
      <c r="C10" s="7"/>
      <c r="D10" s="23" t="s">
        <v>29</v>
      </c>
      <c r="E10" s="7"/>
      <c r="F10" s="23" t="s">
        <v>30</v>
      </c>
      <c r="G10" s="7"/>
      <c r="H10" s="23" t="s">
        <v>32</v>
      </c>
      <c r="I10" s="7"/>
      <c r="J10" s="23" t="s">
        <v>34</v>
      </c>
      <c r="K10" s="7"/>
    </row>
    <row r="11" ht="15.0" customHeight="1">
      <c r="A11" s="24" t="s">
        <v>31</v>
      </c>
      <c r="B11" s="25" t="s">
        <v>35</v>
      </c>
      <c r="C11" s="7"/>
      <c r="D11" s="27">
        <v>1007.0</v>
      </c>
      <c r="E11" s="11"/>
      <c r="F11" s="28">
        <v>957.0</v>
      </c>
      <c r="G11" s="11"/>
      <c r="H11" s="29">
        <v>1964.0</v>
      </c>
      <c r="I11" s="7"/>
      <c r="J11" s="29">
        <v>46.85</v>
      </c>
      <c r="K11" s="7"/>
    </row>
    <row r="12" ht="15.0" customHeight="1">
      <c r="A12" s="24" t="s">
        <v>37</v>
      </c>
      <c r="B12" s="25" t="s">
        <v>38</v>
      </c>
      <c r="C12" s="7"/>
      <c r="D12" s="28">
        <v>501.0</v>
      </c>
      <c r="E12" s="11"/>
      <c r="F12" s="28">
        <v>451.0</v>
      </c>
      <c r="G12" s="11"/>
      <c r="H12" s="29">
        <v>952.0</v>
      </c>
      <c r="I12" s="7"/>
      <c r="J12" s="29">
        <v>52.77</v>
      </c>
      <c r="K12" s="7"/>
    </row>
    <row r="13" ht="15.0" customHeight="1">
      <c r="A13" s="24" t="s">
        <v>40</v>
      </c>
      <c r="B13" s="25" t="s">
        <v>41</v>
      </c>
      <c r="C13" s="7"/>
      <c r="D13" s="28">
        <v>715.0</v>
      </c>
      <c r="E13" s="11"/>
      <c r="F13" s="28">
        <v>625.0</v>
      </c>
      <c r="G13" s="11"/>
      <c r="H13" s="29">
        <v>1340.0</v>
      </c>
      <c r="I13" s="7"/>
      <c r="J13" s="29">
        <v>50.22</v>
      </c>
      <c r="K13" s="7"/>
    </row>
    <row r="14" ht="15.0" customHeight="1">
      <c r="A14" s="24" t="s">
        <v>44</v>
      </c>
      <c r="B14" s="25" t="s">
        <v>45</v>
      </c>
      <c r="C14" s="7"/>
      <c r="D14" s="28">
        <v>856.0</v>
      </c>
      <c r="E14" s="11"/>
      <c r="F14" s="28">
        <v>744.0</v>
      </c>
      <c r="G14" s="11"/>
      <c r="H14" s="29">
        <v>1600.0</v>
      </c>
      <c r="I14" s="7"/>
      <c r="J14" s="29">
        <v>48.03</v>
      </c>
      <c r="K14" s="7"/>
    </row>
    <row r="15" ht="15.0" customHeight="1">
      <c r="A15" s="24" t="s">
        <v>47</v>
      </c>
      <c r="B15" s="25" t="s">
        <v>48</v>
      </c>
      <c r="C15" s="7"/>
      <c r="D15" s="28">
        <v>868.0</v>
      </c>
      <c r="E15" s="11"/>
      <c r="F15" s="28">
        <v>769.0</v>
      </c>
      <c r="G15" s="11"/>
      <c r="H15" s="29">
        <v>1637.0</v>
      </c>
      <c r="I15" s="7"/>
      <c r="J15" s="29">
        <v>46.95</v>
      </c>
      <c r="K15" s="7"/>
    </row>
    <row r="16">
      <c r="A16" s="24" t="s">
        <v>51</v>
      </c>
      <c r="B16" s="25" t="s">
        <v>52</v>
      </c>
      <c r="C16" s="7"/>
      <c r="D16" s="27">
        <v>2344.0</v>
      </c>
      <c r="E16" s="11"/>
      <c r="F16" s="28">
        <v>2196.0</v>
      </c>
      <c r="G16" s="11"/>
      <c r="H16" s="29">
        <v>4540.0</v>
      </c>
      <c r="I16" s="7"/>
      <c r="J16" s="29">
        <v>48.79</v>
      </c>
      <c r="K16" s="7"/>
    </row>
    <row r="17" ht="15.0" customHeight="1">
      <c r="A17" s="24" t="s">
        <v>55</v>
      </c>
      <c r="B17" s="25" t="s">
        <v>56</v>
      </c>
      <c r="C17" s="7"/>
      <c r="D17" s="28">
        <v>465.0</v>
      </c>
      <c r="E17" s="11"/>
      <c r="F17" s="28">
        <v>434.0</v>
      </c>
      <c r="G17" s="11"/>
      <c r="H17" s="29">
        <v>899.0</v>
      </c>
      <c r="I17" s="7"/>
      <c r="J17" s="29">
        <v>48.52</v>
      </c>
      <c r="K17" s="7"/>
    </row>
    <row r="18" ht="15.0" customHeight="1">
      <c r="A18" s="24" t="s">
        <v>60</v>
      </c>
      <c r="B18" s="25" t="s">
        <v>62</v>
      </c>
      <c r="C18" s="7"/>
      <c r="D18" s="27">
        <v>1025.0</v>
      </c>
      <c r="E18" s="11"/>
      <c r="F18" s="28">
        <v>895.0</v>
      </c>
      <c r="G18" s="11"/>
      <c r="H18" s="29">
        <v>1920.0</v>
      </c>
      <c r="I18" s="7"/>
      <c r="J18" s="29">
        <v>48.0</v>
      </c>
      <c r="K18" s="7"/>
    </row>
    <row r="19" ht="15.0" customHeight="1">
      <c r="A19" s="24" t="s">
        <v>65</v>
      </c>
      <c r="B19" s="25" t="s">
        <v>66</v>
      </c>
      <c r="C19" s="7"/>
      <c r="D19" s="27">
        <v>2928.0</v>
      </c>
      <c r="E19" s="11"/>
      <c r="F19" s="28">
        <v>2765.0</v>
      </c>
      <c r="G19" s="11"/>
      <c r="H19" s="29">
        <v>5693.0</v>
      </c>
      <c r="I19" s="7"/>
      <c r="J19" s="29">
        <v>49.89</v>
      </c>
      <c r="K19" s="7"/>
    </row>
    <row r="20" ht="15.0" customHeight="1">
      <c r="A20" s="24" t="s">
        <v>71</v>
      </c>
      <c r="B20" s="25" t="s">
        <v>72</v>
      </c>
      <c r="C20" s="7"/>
      <c r="D20" s="27">
        <v>3003.0</v>
      </c>
      <c r="E20" s="11"/>
      <c r="F20" s="28">
        <v>2866.0</v>
      </c>
      <c r="G20" s="11"/>
      <c r="H20" s="29">
        <v>5869.0</v>
      </c>
      <c r="I20" s="7"/>
      <c r="J20" s="29">
        <v>51.33</v>
      </c>
      <c r="K20" s="7"/>
    </row>
    <row r="21" ht="15.0" customHeight="1">
      <c r="A21" s="24" t="s">
        <v>74</v>
      </c>
      <c r="B21" s="25" t="s">
        <v>75</v>
      </c>
      <c r="C21" s="7"/>
      <c r="D21" s="28">
        <v>629.0</v>
      </c>
      <c r="E21" s="11"/>
      <c r="F21" s="28">
        <v>624.0</v>
      </c>
      <c r="G21" s="11"/>
      <c r="H21" s="29">
        <v>1253.0</v>
      </c>
      <c r="I21" s="7"/>
      <c r="J21" s="29">
        <v>47.66</v>
      </c>
      <c r="K21" s="7"/>
    </row>
    <row r="22" ht="15.0" customHeight="1">
      <c r="A22" s="24" t="s">
        <v>77</v>
      </c>
      <c r="B22" s="25" t="s">
        <v>78</v>
      </c>
      <c r="C22" s="7"/>
      <c r="D22" s="28">
        <v>941.0</v>
      </c>
      <c r="E22" s="11"/>
      <c r="F22" s="28">
        <v>895.0</v>
      </c>
      <c r="G22" s="11"/>
      <c r="H22" s="29">
        <v>1836.0</v>
      </c>
      <c r="I22" s="7"/>
      <c r="J22" s="29">
        <v>49.24</v>
      </c>
      <c r="K22" s="7"/>
    </row>
    <row r="23" ht="15.75" customHeight="1">
      <c r="A23" s="24" t="s">
        <v>79</v>
      </c>
      <c r="B23" s="25" t="s">
        <v>80</v>
      </c>
      <c r="C23" s="7"/>
      <c r="D23" s="27">
        <v>2174.0</v>
      </c>
      <c r="E23" s="11"/>
      <c r="F23" s="28">
        <v>1997.0</v>
      </c>
      <c r="G23" s="11"/>
      <c r="H23" s="29">
        <v>4171.0</v>
      </c>
      <c r="I23" s="7"/>
      <c r="J23" s="29">
        <v>48.89</v>
      </c>
      <c r="K23" s="7"/>
    </row>
    <row r="24" ht="15.75" customHeight="1">
      <c r="A24" s="24" t="s">
        <v>81</v>
      </c>
      <c r="B24" s="25" t="s">
        <v>82</v>
      </c>
      <c r="C24" s="7"/>
      <c r="D24" s="27">
        <v>2985.0</v>
      </c>
      <c r="E24" s="11"/>
      <c r="F24" s="28">
        <v>2794.0</v>
      </c>
      <c r="G24" s="11"/>
      <c r="H24" s="29">
        <v>5779.0</v>
      </c>
      <c r="I24" s="7"/>
      <c r="J24" s="29">
        <v>50.03</v>
      </c>
      <c r="K24" s="7"/>
    </row>
    <row r="25" ht="15.75" customHeight="1">
      <c r="A25" s="24" t="s">
        <v>83</v>
      </c>
      <c r="B25" s="25" t="s">
        <v>84</v>
      </c>
      <c r="C25" s="7"/>
      <c r="D25" s="27">
        <v>1102.0</v>
      </c>
      <c r="E25" s="11"/>
      <c r="F25" s="28">
        <v>1047.0</v>
      </c>
      <c r="G25" s="11"/>
      <c r="H25" s="29">
        <v>2149.0</v>
      </c>
      <c r="I25" s="7"/>
      <c r="J25" s="29">
        <v>53.75</v>
      </c>
      <c r="K25" s="7"/>
    </row>
    <row r="26" ht="15.75" customHeight="1">
      <c r="A26" s="15" t="s">
        <v>52</v>
      </c>
      <c r="B26" s="6"/>
      <c r="C26" s="7"/>
      <c r="D26" s="27">
        <v>21543.0</v>
      </c>
      <c r="E26" s="11"/>
      <c r="F26" s="28">
        <v>20059.0</v>
      </c>
      <c r="G26" s="11"/>
      <c r="H26" s="29">
        <v>41602.0</v>
      </c>
      <c r="I26" s="7"/>
      <c r="J26" s="29">
        <v>49.57</v>
      </c>
      <c r="K26" s="7"/>
    </row>
    <row r="27" ht="15.75" customHeight="1">
      <c r="D27" s="33"/>
      <c r="E27" s="33"/>
      <c r="F27" s="33"/>
      <c r="G27" s="33"/>
      <c r="H27" s="33"/>
      <c r="I27" s="33"/>
      <c r="J27" s="33"/>
      <c r="K27" s="33"/>
    </row>
    <row r="28" ht="15.75" customHeight="1">
      <c r="D28" s="33"/>
      <c r="E28" s="33"/>
      <c r="F28" s="33"/>
      <c r="G28" s="33"/>
      <c r="H28" s="33"/>
      <c r="I28" s="33"/>
      <c r="J28" s="33"/>
      <c r="K28" s="33"/>
    </row>
    <row r="29" ht="15.75" customHeight="1">
      <c r="A29" s="17" t="s">
        <v>86</v>
      </c>
      <c r="B29" s="18"/>
      <c r="C29" s="4"/>
      <c r="D29" s="3" t="s">
        <v>87</v>
      </c>
      <c r="E29" s="18"/>
      <c r="F29" s="18"/>
      <c r="G29" s="18"/>
      <c r="H29" s="18"/>
      <c r="I29" s="4"/>
      <c r="J29" s="3" t="s">
        <v>88</v>
      </c>
      <c r="K29" s="4"/>
    </row>
    <row r="30" ht="15.0" customHeight="1">
      <c r="A30" s="8"/>
      <c r="C30" s="9"/>
      <c r="D30" s="10"/>
      <c r="E30" s="16"/>
      <c r="F30" s="16"/>
      <c r="G30" s="16"/>
      <c r="H30" s="16"/>
      <c r="I30" s="11"/>
      <c r="J30" s="8"/>
      <c r="K30" s="9"/>
    </row>
    <row r="31" ht="15.0" customHeight="1">
      <c r="A31" s="8"/>
      <c r="C31" s="9"/>
      <c r="D31" s="3" t="s">
        <v>91</v>
      </c>
      <c r="E31" s="4"/>
      <c r="F31" s="3" t="s">
        <v>92</v>
      </c>
      <c r="G31" s="4"/>
      <c r="H31" s="3" t="s">
        <v>93</v>
      </c>
      <c r="I31" s="4"/>
      <c r="J31" s="8"/>
      <c r="K31" s="9"/>
    </row>
    <row r="32" ht="15.0" customHeight="1">
      <c r="A32" s="10"/>
      <c r="B32" s="16"/>
      <c r="C32" s="11"/>
      <c r="D32" s="10"/>
      <c r="E32" s="11"/>
      <c r="F32" s="10"/>
      <c r="G32" s="11"/>
      <c r="H32" s="10"/>
      <c r="I32" s="11"/>
      <c r="J32" s="10"/>
      <c r="K32" s="11"/>
    </row>
    <row r="33" ht="15.0" customHeight="1">
      <c r="A33" s="21" t="s">
        <v>11</v>
      </c>
      <c r="B33" s="6"/>
      <c r="C33" s="7"/>
      <c r="D33" s="23" t="s">
        <v>29</v>
      </c>
      <c r="E33" s="7"/>
      <c r="F33" s="23" t="s">
        <v>30</v>
      </c>
      <c r="G33" s="7"/>
      <c r="H33" s="23" t="s">
        <v>32</v>
      </c>
      <c r="I33" s="7"/>
      <c r="J33" s="23" t="s">
        <v>34</v>
      </c>
      <c r="K33" s="7"/>
    </row>
    <row r="34" ht="15.0" customHeight="1">
      <c r="A34" s="24" t="s">
        <v>31</v>
      </c>
      <c r="B34" s="25" t="s">
        <v>35</v>
      </c>
      <c r="C34" s="7"/>
      <c r="D34" s="29">
        <v>1092.0</v>
      </c>
      <c r="E34" s="7"/>
      <c r="F34" s="29">
        <v>1136.0</v>
      </c>
      <c r="G34" s="7"/>
      <c r="H34" s="29">
        <v>2228.0</v>
      </c>
      <c r="I34" s="7"/>
      <c r="J34" s="29">
        <v>53.15</v>
      </c>
      <c r="K34" s="7"/>
    </row>
    <row r="35" ht="15.0" customHeight="1">
      <c r="A35" s="24" t="s">
        <v>37</v>
      </c>
      <c r="B35" s="25" t="s">
        <v>38</v>
      </c>
      <c r="C35" s="7"/>
      <c r="D35" s="29">
        <v>430.0</v>
      </c>
      <c r="E35" s="7"/>
      <c r="F35" s="29">
        <v>422.0</v>
      </c>
      <c r="G35" s="7"/>
      <c r="H35" s="29">
        <v>852.0</v>
      </c>
      <c r="I35" s="7"/>
      <c r="J35" s="29">
        <v>47.23</v>
      </c>
      <c r="K35" s="7"/>
    </row>
    <row r="36" ht="15.0" customHeight="1">
      <c r="A36" s="24" t="s">
        <v>40</v>
      </c>
      <c r="B36" s="25" t="s">
        <v>41</v>
      </c>
      <c r="C36" s="7"/>
      <c r="D36" s="29">
        <v>634.0</v>
      </c>
      <c r="E36" s="7"/>
      <c r="F36" s="29">
        <v>694.0</v>
      </c>
      <c r="G36" s="7"/>
      <c r="H36" s="29">
        <v>1328.0</v>
      </c>
      <c r="I36" s="7"/>
      <c r="J36" s="29">
        <v>49.78</v>
      </c>
      <c r="K36" s="7"/>
    </row>
    <row r="37" ht="15.0" customHeight="1">
      <c r="A37" s="24" t="s">
        <v>44</v>
      </c>
      <c r="B37" s="25" t="s">
        <v>45</v>
      </c>
      <c r="C37" s="7"/>
      <c r="D37" s="29">
        <v>828.0</v>
      </c>
      <c r="E37" s="7"/>
      <c r="F37" s="29">
        <v>903.0</v>
      </c>
      <c r="G37" s="7"/>
      <c r="H37" s="29">
        <v>1731.0</v>
      </c>
      <c r="I37" s="7"/>
      <c r="J37" s="29">
        <v>51.97</v>
      </c>
      <c r="K37" s="7"/>
    </row>
    <row r="38" ht="15.75" customHeight="1">
      <c r="A38" s="24" t="s">
        <v>47</v>
      </c>
      <c r="B38" s="25" t="s">
        <v>48</v>
      </c>
      <c r="C38" s="7"/>
      <c r="D38" s="29">
        <v>923.0</v>
      </c>
      <c r="E38" s="7"/>
      <c r="F38" s="29">
        <v>927.0</v>
      </c>
      <c r="G38" s="7"/>
      <c r="H38" s="29">
        <v>1850.0</v>
      </c>
      <c r="I38" s="7"/>
      <c r="J38" s="29">
        <v>53.05</v>
      </c>
      <c r="K38" s="7"/>
    </row>
    <row r="39" ht="15.0" customHeight="1">
      <c r="A39" s="24" t="s">
        <v>51</v>
      </c>
      <c r="B39" s="25" t="s">
        <v>52</v>
      </c>
      <c r="C39" s="7"/>
      <c r="D39" s="29">
        <v>2324.0</v>
      </c>
      <c r="E39" s="7"/>
      <c r="F39" s="29">
        <v>2442.0</v>
      </c>
      <c r="G39" s="7"/>
      <c r="H39" s="29">
        <v>4766.0</v>
      </c>
      <c r="I39" s="7"/>
      <c r="J39" s="29">
        <v>51.21</v>
      </c>
      <c r="K39" s="7"/>
    </row>
    <row r="40" ht="15.0" customHeight="1">
      <c r="A40" s="24" t="s">
        <v>55</v>
      </c>
      <c r="B40" s="25" t="s">
        <v>56</v>
      </c>
      <c r="C40" s="7"/>
      <c r="D40" s="29">
        <v>469.0</v>
      </c>
      <c r="E40" s="7"/>
      <c r="F40" s="29">
        <v>485.0</v>
      </c>
      <c r="G40" s="7"/>
      <c r="H40" s="29">
        <v>954.0</v>
      </c>
      <c r="I40" s="7"/>
      <c r="J40" s="29">
        <v>51.48</v>
      </c>
      <c r="K40" s="7"/>
    </row>
    <row r="41" ht="15.0" customHeight="1">
      <c r="A41" s="24" t="s">
        <v>60</v>
      </c>
      <c r="B41" s="25" t="s">
        <v>62</v>
      </c>
      <c r="C41" s="7"/>
      <c r="D41" s="29">
        <v>1012.0</v>
      </c>
      <c r="E41" s="7"/>
      <c r="F41" s="29">
        <v>1068.0</v>
      </c>
      <c r="G41" s="7"/>
      <c r="H41" s="29">
        <v>2080.0</v>
      </c>
      <c r="I41" s="7"/>
      <c r="J41" s="29">
        <v>52.0</v>
      </c>
      <c r="K41" s="7"/>
    </row>
    <row r="42" ht="15.0" customHeight="1">
      <c r="A42" s="24" t="s">
        <v>65</v>
      </c>
      <c r="B42" s="25" t="s">
        <v>66</v>
      </c>
      <c r="C42" s="7"/>
      <c r="D42" s="29">
        <v>2803.0</v>
      </c>
      <c r="E42" s="7"/>
      <c r="F42" s="29">
        <v>2915.0</v>
      </c>
      <c r="G42" s="7"/>
      <c r="H42" s="29">
        <v>5718.0</v>
      </c>
      <c r="I42" s="7"/>
      <c r="J42" s="29">
        <v>50.11</v>
      </c>
      <c r="K42" s="7"/>
    </row>
    <row r="43" ht="15.0" customHeight="1">
      <c r="A43" s="24" t="s">
        <v>71</v>
      </c>
      <c r="B43" s="25" t="s">
        <v>72</v>
      </c>
      <c r="C43" s="7"/>
      <c r="D43" s="29">
        <v>2711.0</v>
      </c>
      <c r="E43" s="7"/>
      <c r="F43" s="29">
        <v>2853.0</v>
      </c>
      <c r="G43" s="7"/>
      <c r="H43" s="29">
        <v>5564.0</v>
      </c>
      <c r="I43" s="7"/>
      <c r="J43" s="29">
        <v>48.67</v>
      </c>
      <c r="K43" s="7"/>
    </row>
    <row r="44" ht="15.0" customHeight="1">
      <c r="A44" s="24" t="s">
        <v>74</v>
      </c>
      <c r="B44" s="25" t="s">
        <v>75</v>
      </c>
      <c r="C44" s="7"/>
      <c r="D44" s="29">
        <v>673.0</v>
      </c>
      <c r="E44" s="7"/>
      <c r="F44" s="29">
        <v>703.0</v>
      </c>
      <c r="G44" s="7"/>
      <c r="H44" s="29">
        <v>1376.0</v>
      </c>
      <c r="I44" s="7"/>
      <c r="J44" s="29">
        <v>52.34</v>
      </c>
      <c r="K44" s="7"/>
    </row>
    <row r="45" ht="15.0" customHeight="1">
      <c r="A45" s="24" t="s">
        <v>77</v>
      </c>
      <c r="B45" s="25" t="s">
        <v>78</v>
      </c>
      <c r="C45" s="7"/>
      <c r="D45" s="29">
        <v>919.0</v>
      </c>
      <c r="E45" s="7"/>
      <c r="F45" s="29">
        <v>974.0</v>
      </c>
      <c r="G45" s="7"/>
      <c r="H45" s="29">
        <v>1893.0</v>
      </c>
      <c r="I45" s="7"/>
      <c r="J45" s="29">
        <v>50.76</v>
      </c>
      <c r="K45" s="7"/>
    </row>
    <row r="46" ht="15.75" customHeight="1">
      <c r="A46" s="24" t="s">
        <v>79</v>
      </c>
      <c r="B46" s="25" t="s">
        <v>80</v>
      </c>
      <c r="C46" s="7"/>
      <c r="D46" s="29">
        <v>2147.0</v>
      </c>
      <c r="E46" s="7"/>
      <c r="F46" s="29">
        <v>2214.0</v>
      </c>
      <c r="G46" s="7"/>
      <c r="H46" s="29">
        <v>4361.0</v>
      </c>
      <c r="I46" s="7"/>
      <c r="J46" s="29">
        <v>51.11</v>
      </c>
      <c r="K46" s="7"/>
    </row>
    <row r="47" ht="15.0" customHeight="1">
      <c r="A47" s="24" t="s">
        <v>81</v>
      </c>
      <c r="B47" s="25" t="s">
        <v>82</v>
      </c>
      <c r="C47" s="7"/>
      <c r="D47" s="29">
        <v>2834.0</v>
      </c>
      <c r="E47" s="7"/>
      <c r="F47" s="29">
        <v>2939.0</v>
      </c>
      <c r="G47" s="7"/>
      <c r="H47" s="29">
        <v>5773.0</v>
      </c>
      <c r="I47" s="7"/>
      <c r="J47" s="29">
        <v>49.97</v>
      </c>
      <c r="K47" s="7"/>
    </row>
    <row r="48" ht="15.0" customHeight="1">
      <c r="A48" s="24" t="s">
        <v>83</v>
      </c>
      <c r="B48" s="25" t="s">
        <v>84</v>
      </c>
      <c r="C48" s="7"/>
      <c r="D48" s="29">
        <v>906.0</v>
      </c>
      <c r="E48" s="7"/>
      <c r="F48" s="29">
        <v>943.0</v>
      </c>
      <c r="G48" s="7"/>
      <c r="H48" s="29">
        <v>1849.0</v>
      </c>
      <c r="I48" s="7"/>
      <c r="J48" s="29">
        <v>46.25</v>
      </c>
      <c r="K48" s="7"/>
    </row>
    <row r="49" ht="15.75" customHeight="1">
      <c r="A49" s="15" t="s">
        <v>52</v>
      </c>
      <c r="B49" s="6"/>
      <c r="C49" s="7"/>
      <c r="D49" s="29">
        <v>20705.0</v>
      </c>
      <c r="E49" s="7"/>
      <c r="F49" s="29">
        <v>21618.0</v>
      </c>
      <c r="G49" s="7"/>
      <c r="H49" s="29">
        <v>42323.0</v>
      </c>
      <c r="I49" s="7"/>
      <c r="J49" s="29">
        <v>50.43</v>
      </c>
      <c r="K49" s="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H21:I21"/>
    <mergeCell ref="J21:K21"/>
    <mergeCell ref="H22:I22"/>
    <mergeCell ref="J22:K22"/>
    <mergeCell ref="H23:I23"/>
    <mergeCell ref="J23:K23"/>
    <mergeCell ref="B19:C19"/>
    <mergeCell ref="B20:C20"/>
    <mergeCell ref="D20:E20"/>
    <mergeCell ref="F20:G20"/>
    <mergeCell ref="H20:I20"/>
    <mergeCell ref="J20:K20"/>
    <mergeCell ref="B21:C21"/>
    <mergeCell ref="D21:E21"/>
    <mergeCell ref="F21:G21"/>
    <mergeCell ref="B22:C22"/>
    <mergeCell ref="D22:E22"/>
    <mergeCell ref="F22:G22"/>
    <mergeCell ref="D23:E23"/>
    <mergeCell ref="F23:G23"/>
    <mergeCell ref="H25:I25"/>
    <mergeCell ref="J25:K25"/>
    <mergeCell ref="H26:I26"/>
    <mergeCell ref="J26:K26"/>
    <mergeCell ref="B23:C23"/>
    <mergeCell ref="B24:C24"/>
    <mergeCell ref="D24:E24"/>
    <mergeCell ref="F24:G24"/>
    <mergeCell ref="H24:I24"/>
    <mergeCell ref="J24:K24"/>
    <mergeCell ref="B25:C25"/>
    <mergeCell ref="D25:E25"/>
    <mergeCell ref="F25:G25"/>
    <mergeCell ref="A26:C26"/>
    <mergeCell ref="D26:E26"/>
    <mergeCell ref="F26:G26"/>
    <mergeCell ref="D29:I30"/>
    <mergeCell ref="J29:K32"/>
    <mergeCell ref="F34:G34"/>
    <mergeCell ref="F35:G35"/>
    <mergeCell ref="H35:I35"/>
    <mergeCell ref="J35:K35"/>
    <mergeCell ref="F31:G32"/>
    <mergeCell ref="H31:I32"/>
    <mergeCell ref="F33:G33"/>
    <mergeCell ref="H33:I33"/>
    <mergeCell ref="J33:K33"/>
    <mergeCell ref="H34:I34"/>
    <mergeCell ref="J34:K34"/>
    <mergeCell ref="B35:C35"/>
    <mergeCell ref="B36:C36"/>
    <mergeCell ref="D36:E36"/>
    <mergeCell ref="F36:G36"/>
    <mergeCell ref="H36:I36"/>
    <mergeCell ref="J36:K36"/>
    <mergeCell ref="A29:C32"/>
    <mergeCell ref="D31:E32"/>
    <mergeCell ref="A33:C33"/>
    <mergeCell ref="D33:E33"/>
    <mergeCell ref="B34:C34"/>
    <mergeCell ref="D34:E34"/>
    <mergeCell ref="D35:E35"/>
    <mergeCell ref="H44:I44"/>
    <mergeCell ref="J44:K44"/>
    <mergeCell ref="H45:I45"/>
    <mergeCell ref="J45:K45"/>
    <mergeCell ref="H46:I46"/>
    <mergeCell ref="J46:K46"/>
    <mergeCell ref="D44:E44"/>
    <mergeCell ref="F44:G44"/>
    <mergeCell ref="B45:C45"/>
    <mergeCell ref="D45:E45"/>
    <mergeCell ref="F45:G45"/>
    <mergeCell ref="D46:E46"/>
    <mergeCell ref="F46:G46"/>
    <mergeCell ref="H48:I48"/>
    <mergeCell ref="J48:K48"/>
    <mergeCell ref="A49:C49"/>
    <mergeCell ref="D49:E49"/>
    <mergeCell ref="F49:G49"/>
    <mergeCell ref="H49:I49"/>
    <mergeCell ref="J49:K49"/>
    <mergeCell ref="B46:C46"/>
    <mergeCell ref="B47:C47"/>
    <mergeCell ref="D47:E47"/>
    <mergeCell ref="F47:G47"/>
    <mergeCell ref="H47:I47"/>
    <mergeCell ref="J47:K47"/>
    <mergeCell ref="B48:C48"/>
    <mergeCell ref="F38:G38"/>
    <mergeCell ref="H38:I38"/>
    <mergeCell ref="B37:C37"/>
    <mergeCell ref="D37:E37"/>
    <mergeCell ref="F37:G37"/>
    <mergeCell ref="H37:I37"/>
    <mergeCell ref="J37:K37"/>
    <mergeCell ref="D38:E38"/>
    <mergeCell ref="J38:K38"/>
    <mergeCell ref="H40:I40"/>
    <mergeCell ref="J40:K40"/>
    <mergeCell ref="H41:I41"/>
    <mergeCell ref="J41:K41"/>
    <mergeCell ref="H42:I42"/>
    <mergeCell ref="J42:K42"/>
    <mergeCell ref="B38:C38"/>
    <mergeCell ref="B39:C39"/>
    <mergeCell ref="D39:E39"/>
    <mergeCell ref="F39:G39"/>
    <mergeCell ref="H39:I39"/>
    <mergeCell ref="J39:K39"/>
    <mergeCell ref="B40:C40"/>
    <mergeCell ref="D40:E40"/>
    <mergeCell ref="F40:G40"/>
    <mergeCell ref="B41:C41"/>
    <mergeCell ref="D41:E41"/>
    <mergeCell ref="F41:G41"/>
    <mergeCell ref="D42:E42"/>
    <mergeCell ref="F42:G42"/>
    <mergeCell ref="B42:C42"/>
    <mergeCell ref="B43:C43"/>
    <mergeCell ref="D43:E43"/>
    <mergeCell ref="F43:G43"/>
    <mergeCell ref="H43:I43"/>
    <mergeCell ref="J43:K43"/>
    <mergeCell ref="B44:C44"/>
    <mergeCell ref="D48:E48"/>
    <mergeCell ref="F48:G4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96</v>
      </c>
      <c r="B1" s="14" t="s">
        <v>97</v>
      </c>
    </row>
    <row r="5">
      <c r="B5" s="16"/>
      <c r="C5" s="16"/>
      <c r="D5" s="16"/>
      <c r="E5" s="16"/>
      <c r="F5" s="16"/>
      <c r="G5" s="16"/>
      <c r="H5" s="16"/>
      <c r="I5" s="16"/>
    </row>
    <row r="6" ht="15.0" customHeight="1">
      <c r="A6" s="17" t="s">
        <v>98</v>
      </c>
      <c r="B6" s="18"/>
      <c r="C6" s="4"/>
      <c r="D6" s="3" t="s">
        <v>99</v>
      </c>
      <c r="E6" s="4"/>
      <c r="F6" s="3" t="s">
        <v>100</v>
      </c>
      <c r="G6" s="4"/>
      <c r="H6" s="3" t="s">
        <v>101</v>
      </c>
      <c r="I6" s="4"/>
    </row>
    <row r="7">
      <c r="A7" s="10"/>
      <c r="B7" s="16"/>
      <c r="C7" s="11"/>
      <c r="D7" s="10"/>
      <c r="E7" s="11"/>
      <c r="F7" s="10"/>
      <c r="G7" s="11"/>
      <c r="H7" s="10"/>
      <c r="I7" s="11"/>
    </row>
    <row r="8" ht="15.0" customHeight="1">
      <c r="A8" s="21" t="s">
        <v>11</v>
      </c>
      <c r="B8" s="6"/>
      <c r="C8" s="7"/>
      <c r="D8" s="23" t="s">
        <v>12</v>
      </c>
      <c r="E8" s="7"/>
      <c r="F8" s="23" t="s">
        <v>13</v>
      </c>
      <c r="G8" s="7"/>
      <c r="H8" s="23" t="s">
        <v>14</v>
      </c>
      <c r="I8" s="7"/>
    </row>
    <row r="9" ht="15.0" customHeight="1">
      <c r="A9" s="24" t="s">
        <v>31</v>
      </c>
      <c r="B9" s="25" t="s">
        <v>35</v>
      </c>
      <c r="C9" s="7"/>
      <c r="D9" s="35">
        <v>122.0</v>
      </c>
      <c r="E9" s="7"/>
      <c r="F9" s="35">
        <v>86.0</v>
      </c>
      <c r="G9" s="7"/>
      <c r="H9" s="35">
        <v>208.0</v>
      </c>
      <c r="I9" s="7"/>
      <c r="J9" s="36"/>
    </row>
    <row r="10" ht="15.0" customHeight="1">
      <c r="A10" s="24" t="s">
        <v>37</v>
      </c>
      <c r="B10" s="25" t="s">
        <v>38</v>
      </c>
      <c r="C10" s="7"/>
      <c r="D10" s="35">
        <v>29.0</v>
      </c>
      <c r="E10" s="7"/>
      <c r="F10" s="35">
        <v>22.0</v>
      </c>
      <c r="G10" s="7"/>
      <c r="H10" s="35">
        <v>51.0</v>
      </c>
      <c r="I10" s="7"/>
      <c r="J10" s="36"/>
    </row>
    <row r="11" ht="15.0" customHeight="1">
      <c r="A11" s="24" t="s">
        <v>40</v>
      </c>
      <c r="B11" s="25" t="s">
        <v>41</v>
      </c>
      <c r="C11" s="7"/>
      <c r="D11" s="35">
        <v>65.0</v>
      </c>
      <c r="E11" s="7"/>
      <c r="F11" s="35">
        <v>45.0</v>
      </c>
      <c r="G11" s="7"/>
      <c r="H11" s="35">
        <v>110.0</v>
      </c>
      <c r="I11" s="7"/>
      <c r="J11" s="36"/>
    </row>
    <row r="12" ht="15.0" customHeight="1">
      <c r="A12" s="24" t="s">
        <v>44</v>
      </c>
      <c r="B12" s="25" t="s">
        <v>45</v>
      </c>
      <c r="C12" s="7"/>
      <c r="D12" s="35">
        <v>71.0</v>
      </c>
      <c r="E12" s="7"/>
      <c r="F12" s="35">
        <v>60.0</v>
      </c>
      <c r="G12" s="7"/>
      <c r="H12" s="35">
        <v>131.0</v>
      </c>
      <c r="I12" s="7"/>
      <c r="J12" s="36"/>
    </row>
    <row r="13" ht="15.0" customHeight="1">
      <c r="A13" s="24" t="s">
        <v>47</v>
      </c>
      <c r="B13" s="25" t="s">
        <v>48</v>
      </c>
      <c r="C13" s="7"/>
      <c r="D13" s="35">
        <v>88.0</v>
      </c>
      <c r="E13" s="7"/>
      <c r="F13" s="35">
        <v>66.0</v>
      </c>
      <c r="G13" s="7"/>
      <c r="H13" s="35">
        <v>154.0</v>
      </c>
      <c r="I13" s="7"/>
      <c r="J13" s="36"/>
    </row>
    <row r="14">
      <c r="A14" s="24" t="s">
        <v>51</v>
      </c>
      <c r="B14" s="25" t="s">
        <v>52</v>
      </c>
      <c r="C14" s="7"/>
      <c r="D14" s="35">
        <v>290.0</v>
      </c>
      <c r="E14" s="7"/>
      <c r="F14" s="35">
        <v>249.0</v>
      </c>
      <c r="G14" s="7"/>
      <c r="H14" s="35">
        <v>539.0</v>
      </c>
      <c r="I14" s="7"/>
      <c r="J14" s="36"/>
    </row>
    <row r="15" ht="15.0" customHeight="1">
      <c r="A15" s="24" t="s">
        <v>55</v>
      </c>
      <c r="B15" s="25" t="s">
        <v>56</v>
      </c>
      <c r="C15" s="7"/>
      <c r="D15" s="35">
        <v>44.0</v>
      </c>
      <c r="E15" s="7"/>
      <c r="F15" s="35">
        <v>25.0</v>
      </c>
      <c r="G15" s="7"/>
      <c r="H15" s="35">
        <v>69.0</v>
      </c>
      <c r="I15" s="7"/>
      <c r="J15" s="36"/>
    </row>
    <row r="16" ht="15.0" customHeight="1">
      <c r="A16" s="24" t="s">
        <v>60</v>
      </c>
      <c r="B16" s="25" t="s">
        <v>62</v>
      </c>
      <c r="C16" s="7"/>
      <c r="D16" s="35">
        <v>73.0</v>
      </c>
      <c r="E16" s="7"/>
      <c r="F16" s="35">
        <v>46.0</v>
      </c>
      <c r="G16" s="7"/>
      <c r="H16" s="35">
        <v>119.0</v>
      </c>
      <c r="I16" s="7"/>
      <c r="J16" s="36"/>
    </row>
    <row r="17" ht="15.0" customHeight="1">
      <c r="A17" s="24" t="s">
        <v>65</v>
      </c>
      <c r="B17" s="25" t="s">
        <v>66</v>
      </c>
      <c r="C17" s="7"/>
      <c r="D17" s="35">
        <v>226.0</v>
      </c>
      <c r="E17" s="7"/>
      <c r="F17" s="35">
        <v>148.0</v>
      </c>
      <c r="G17" s="7"/>
      <c r="H17" s="35">
        <v>374.0</v>
      </c>
      <c r="I17" s="7"/>
      <c r="J17" s="36"/>
    </row>
    <row r="18" ht="15.0" customHeight="1">
      <c r="A18" s="24" t="s">
        <v>71</v>
      </c>
      <c r="B18" s="25" t="s">
        <v>72</v>
      </c>
      <c r="C18" s="7"/>
      <c r="D18" s="35">
        <v>191.0</v>
      </c>
      <c r="E18" s="7"/>
      <c r="F18" s="35">
        <v>150.0</v>
      </c>
      <c r="G18" s="7"/>
      <c r="H18" s="35">
        <v>341.0</v>
      </c>
      <c r="I18" s="7"/>
      <c r="J18" s="36"/>
    </row>
    <row r="19" ht="15.0" customHeight="1">
      <c r="A19" s="24" t="s">
        <v>74</v>
      </c>
      <c r="B19" s="25" t="s">
        <v>75</v>
      </c>
      <c r="C19" s="7"/>
      <c r="D19" s="35">
        <v>63.0</v>
      </c>
      <c r="E19" s="7"/>
      <c r="F19" s="35">
        <v>40.0</v>
      </c>
      <c r="G19" s="7"/>
      <c r="H19" s="35">
        <v>103.0</v>
      </c>
      <c r="I19" s="7"/>
      <c r="J19" s="36"/>
    </row>
    <row r="20" ht="15.0" customHeight="1">
      <c r="A20" s="24" t="s">
        <v>77</v>
      </c>
      <c r="B20" s="25" t="s">
        <v>78</v>
      </c>
      <c r="C20" s="7"/>
      <c r="D20" s="35">
        <v>71.0</v>
      </c>
      <c r="E20" s="7"/>
      <c r="F20" s="35">
        <v>54.0</v>
      </c>
      <c r="G20" s="7"/>
      <c r="H20" s="35">
        <v>125.0</v>
      </c>
      <c r="I20" s="7"/>
      <c r="J20" s="36"/>
    </row>
    <row r="21" ht="15.0" customHeight="1">
      <c r="A21" s="24" t="s">
        <v>79</v>
      </c>
      <c r="B21" s="25" t="s">
        <v>80</v>
      </c>
      <c r="C21" s="7"/>
      <c r="D21" s="35">
        <v>216.0</v>
      </c>
      <c r="E21" s="7"/>
      <c r="F21" s="35">
        <v>130.0</v>
      </c>
      <c r="G21" s="7"/>
      <c r="H21" s="35">
        <v>346.0</v>
      </c>
      <c r="I21" s="7"/>
      <c r="J21" s="36"/>
    </row>
    <row r="22" ht="15.75" customHeight="1">
      <c r="A22" s="24" t="s">
        <v>81</v>
      </c>
      <c r="B22" s="25" t="s">
        <v>82</v>
      </c>
      <c r="C22" s="7"/>
      <c r="D22" s="35">
        <v>288.0</v>
      </c>
      <c r="E22" s="7"/>
      <c r="F22" s="35">
        <v>185.0</v>
      </c>
      <c r="G22" s="7"/>
      <c r="H22" s="35">
        <v>473.0</v>
      </c>
      <c r="I22" s="7"/>
      <c r="J22" s="36"/>
    </row>
    <row r="23" ht="15.75" customHeight="1">
      <c r="A23" s="24" t="s">
        <v>83</v>
      </c>
      <c r="B23" s="25" t="s">
        <v>84</v>
      </c>
      <c r="C23" s="7"/>
      <c r="D23" s="35">
        <v>69.0</v>
      </c>
      <c r="E23" s="7"/>
      <c r="F23" s="35">
        <v>61.0</v>
      </c>
      <c r="G23" s="7"/>
      <c r="H23" s="35">
        <v>130.0</v>
      </c>
      <c r="I23" s="7"/>
      <c r="J23" s="36"/>
    </row>
    <row r="24" ht="15.75" customHeight="1">
      <c r="A24" s="15" t="s">
        <v>52</v>
      </c>
      <c r="B24" s="6"/>
      <c r="C24" s="7"/>
      <c r="D24" s="37">
        <v>1906.0</v>
      </c>
      <c r="E24" s="7"/>
      <c r="F24" s="37">
        <v>1367.0</v>
      </c>
      <c r="G24" s="7"/>
      <c r="H24" s="37">
        <v>3273.0</v>
      </c>
      <c r="I24" s="7"/>
      <c r="J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J24:K24"/>
    <mergeCell ref="F22:G22"/>
    <mergeCell ref="F23:G23"/>
    <mergeCell ref="D22:E22"/>
    <mergeCell ref="H22:I22"/>
    <mergeCell ref="H23:I23"/>
    <mergeCell ref="H24:I24"/>
    <mergeCell ref="B22:C22"/>
    <mergeCell ref="B23:C23"/>
    <mergeCell ref="J23:K23"/>
    <mergeCell ref="A24:C24"/>
    <mergeCell ref="D23:E23"/>
    <mergeCell ref="D24:E24"/>
    <mergeCell ref="F24:G24"/>
    <mergeCell ref="D13:E13"/>
    <mergeCell ref="F13:G13"/>
    <mergeCell ref="F15:G15"/>
    <mergeCell ref="F16:G16"/>
    <mergeCell ref="H14:I14"/>
    <mergeCell ref="H15:I15"/>
    <mergeCell ref="B14:C14"/>
    <mergeCell ref="B15:C15"/>
    <mergeCell ref="J15:K15"/>
    <mergeCell ref="B16:C16"/>
    <mergeCell ref="D15:E15"/>
    <mergeCell ref="D16:E16"/>
    <mergeCell ref="F14:G14"/>
    <mergeCell ref="H16:I16"/>
    <mergeCell ref="F18:G18"/>
    <mergeCell ref="F19:G19"/>
    <mergeCell ref="D18:E18"/>
    <mergeCell ref="H18:I18"/>
    <mergeCell ref="H19:I19"/>
    <mergeCell ref="H20:I20"/>
    <mergeCell ref="B18:C18"/>
    <mergeCell ref="B19:C19"/>
    <mergeCell ref="J19:K19"/>
    <mergeCell ref="B20:C20"/>
    <mergeCell ref="D19:E19"/>
    <mergeCell ref="D20:E20"/>
    <mergeCell ref="F20:G20"/>
    <mergeCell ref="J16:K16"/>
    <mergeCell ref="J17:K17"/>
    <mergeCell ref="J18:K18"/>
    <mergeCell ref="H17:I17"/>
    <mergeCell ref="J20:K20"/>
    <mergeCell ref="J21:K21"/>
    <mergeCell ref="J22:K22"/>
    <mergeCell ref="H21:I21"/>
    <mergeCell ref="B17:C17"/>
    <mergeCell ref="B21:C21"/>
    <mergeCell ref="D17:E17"/>
    <mergeCell ref="D21:E21"/>
    <mergeCell ref="F17:G17"/>
    <mergeCell ref="F21:G21"/>
    <mergeCell ref="B9:C9"/>
    <mergeCell ref="J9:K9"/>
    <mergeCell ref="J10:K10"/>
    <mergeCell ref="D9:E9"/>
    <mergeCell ref="D10:E10"/>
    <mergeCell ref="F9:G9"/>
    <mergeCell ref="F10:G10"/>
    <mergeCell ref="B10:C10"/>
    <mergeCell ref="B11:C11"/>
    <mergeCell ref="J11:K11"/>
    <mergeCell ref="B12:C12"/>
    <mergeCell ref="D11:E11"/>
    <mergeCell ref="D12:E12"/>
    <mergeCell ref="F12:G12"/>
    <mergeCell ref="H12:I12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J12:K12"/>
    <mergeCell ref="J13:K13"/>
    <mergeCell ref="J14:K14"/>
    <mergeCell ref="H13:I13"/>
    <mergeCell ref="B13:C13"/>
    <mergeCell ref="D14:E14"/>
    <mergeCell ref="H9:I9"/>
    <mergeCell ref="H10:I10"/>
    <mergeCell ref="F11:G11"/>
    <mergeCell ref="H11:I1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  <col customWidth="1" min="4" max="4" width="21.29"/>
    <col customWidth="1" min="5" max="5" width="22.29"/>
    <col customWidth="1" min="9" max="9" width="10.57"/>
  </cols>
  <sheetData>
    <row r="1">
      <c r="A1" s="38" t="s">
        <v>110</v>
      </c>
      <c r="B1" s="39" t="s">
        <v>111</v>
      </c>
    </row>
    <row r="2">
      <c r="A2" s="38"/>
    </row>
    <row r="3">
      <c r="A3" s="38"/>
    </row>
    <row r="4" ht="6.0" customHeight="1">
      <c r="A4" s="38"/>
    </row>
    <row r="5" ht="1.5" customHeight="1">
      <c r="A5" s="38"/>
      <c r="B5" s="16"/>
      <c r="C5" s="16"/>
      <c r="D5" s="16"/>
      <c r="E5" s="16"/>
      <c r="F5" s="16"/>
      <c r="G5" s="16"/>
      <c r="H5" s="16"/>
      <c r="I5" s="16"/>
    </row>
    <row r="6">
      <c r="A6" s="40" t="s">
        <v>113</v>
      </c>
      <c r="B6" s="18"/>
      <c r="C6" s="4"/>
      <c r="D6" s="41" t="s">
        <v>115</v>
      </c>
      <c r="E6" s="4"/>
      <c r="F6" s="41" t="s">
        <v>116</v>
      </c>
      <c r="G6" s="4"/>
      <c r="H6" s="40" t="s">
        <v>117</v>
      </c>
      <c r="I6" s="4"/>
    </row>
    <row r="7">
      <c r="A7" s="10"/>
      <c r="B7" s="16"/>
      <c r="C7" s="11"/>
      <c r="D7" s="10"/>
      <c r="E7" s="11"/>
      <c r="F7" s="10"/>
      <c r="G7" s="11"/>
      <c r="H7" s="8"/>
      <c r="I7" s="9"/>
    </row>
    <row r="8">
      <c r="A8" s="43" t="s">
        <v>11</v>
      </c>
      <c r="B8" s="6"/>
      <c r="C8" s="7"/>
      <c r="D8" s="43" t="s">
        <v>12</v>
      </c>
      <c r="E8" s="7"/>
      <c r="F8" s="43" t="s">
        <v>13</v>
      </c>
      <c r="G8" s="7"/>
      <c r="H8" s="46" t="s">
        <v>14</v>
      </c>
      <c r="I8" s="7"/>
    </row>
    <row r="9">
      <c r="A9" s="47" t="s">
        <v>31</v>
      </c>
      <c r="B9" s="25" t="s">
        <v>35</v>
      </c>
      <c r="C9" s="7"/>
      <c r="D9" s="49">
        <v>3076.0</v>
      </c>
      <c r="E9" s="11"/>
      <c r="F9" s="49">
        <v>3036.0</v>
      </c>
      <c r="G9" s="11"/>
      <c r="H9" s="51">
        <v>98.7</v>
      </c>
      <c r="I9" s="11"/>
    </row>
    <row r="10">
      <c r="A10" s="47" t="s">
        <v>37</v>
      </c>
      <c r="B10" s="25" t="s">
        <v>38</v>
      </c>
      <c r="C10" s="7"/>
      <c r="D10" s="49">
        <v>1338.0</v>
      </c>
      <c r="E10" s="11"/>
      <c r="F10" s="49">
        <v>1322.0</v>
      </c>
      <c r="G10" s="11"/>
      <c r="H10" s="51">
        <v>98.8</v>
      </c>
      <c r="I10" s="11"/>
    </row>
    <row r="11">
      <c r="A11" s="47" t="s">
        <v>40</v>
      </c>
      <c r="B11" s="25" t="s">
        <v>41</v>
      </c>
      <c r="C11" s="7"/>
      <c r="D11" s="49">
        <v>1913.0</v>
      </c>
      <c r="E11" s="11"/>
      <c r="F11" s="49">
        <v>1896.0</v>
      </c>
      <c r="G11" s="11"/>
      <c r="H11" s="51">
        <v>99.11</v>
      </c>
      <c r="I11" s="11"/>
    </row>
    <row r="12">
      <c r="A12" s="47" t="s">
        <v>44</v>
      </c>
      <c r="B12" s="25" t="s">
        <v>45</v>
      </c>
      <c r="C12" s="7"/>
      <c r="D12" s="49">
        <v>2407.0</v>
      </c>
      <c r="E12" s="11"/>
      <c r="F12" s="49">
        <v>2375.0</v>
      </c>
      <c r="G12" s="11"/>
      <c r="H12" s="51">
        <v>98.67</v>
      </c>
      <c r="I12" s="11"/>
    </row>
    <row r="13">
      <c r="A13" s="47" t="s">
        <v>47</v>
      </c>
      <c r="B13" s="25" t="s">
        <v>48</v>
      </c>
      <c r="C13" s="7"/>
      <c r="D13" s="49">
        <v>2545.0</v>
      </c>
      <c r="E13" s="11"/>
      <c r="F13" s="49">
        <v>2524.0</v>
      </c>
      <c r="G13" s="11"/>
      <c r="H13" s="51">
        <v>99.17</v>
      </c>
      <c r="I13" s="11"/>
    </row>
    <row r="14">
      <c r="A14" s="47" t="s">
        <v>51</v>
      </c>
      <c r="B14" s="25" t="s">
        <v>52</v>
      </c>
      <c r="C14" s="7"/>
      <c r="D14" s="49">
        <v>6845.0</v>
      </c>
      <c r="E14" s="11"/>
      <c r="F14" s="49">
        <v>6780.0</v>
      </c>
      <c r="G14" s="11"/>
      <c r="H14" s="51">
        <v>99.05</v>
      </c>
      <c r="I14" s="11"/>
    </row>
    <row r="15">
      <c r="A15" s="47" t="s">
        <v>55</v>
      </c>
      <c r="B15" s="25" t="s">
        <v>56</v>
      </c>
      <c r="C15" s="7"/>
      <c r="D15" s="49">
        <v>1372.0</v>
      </c>
      <c r="E15" s="11"/>
      <c r="F15" s="49">
        <v>1358.0</v>
      </c>
      <c r="G15" s="11"/>
      <c r="H15" s="51">
        <v>98.98</v>
      </c>
      <c r="I15" s="11"/>
    </row>
    <row r="16">
      <c r="A16" s="47" t="s">
        <v>60</v>
      </c>
      <c r="B16" s="25" t="s">
        <v>62</v>
      </c>
      <c r="C16" s="7"/>
      <c r="D16" s="49">
        <v>2936.0</v>
      </c>
      <c r="E16" s="11"/>
      <c r="F16" s="49">
        <v>2908.0</v>
      </c>
      <c r="G16" s="11"/>
      <c r="H16" s="51">
        <v>99.05</v>
      </c>
      <c r="I16" s="11"/>
    </row>
    <row r="17">
      <c r="A17" s="47" t="s">
        <v>65</v>
      </c>
      <c r="B17" s="25" t="s">
        <v>66</v>
      </c>
      <c r="C17" s="7"/>
      <c r="D17" s="49">
        <v>8261.0</v>
      </c>
      <c r="E17" s="11"/>
      <c r="F17" s="49">
        <v>8178.0</v>
      </c>
      <c r="G17" s="11"/>
      <c r="H17" s="51" t="s">
        <v>142</v>
      </c>
      <c r="I17" s="11"/>
    </row>
    <row r="18">
      <c r="A18" s="47" t="s">
        <v>71</v>
      </c>
      <c r="B18" s="25" t="s">
        <v>72</v>
      </c>
      <c r="C18" s="7"/>
      <c r="D18" s="49">
        <v>8211.0</v>
      </c>
      <c r="E18" s="11"/>
      <c r="F18" s="49">
        <v>8133.0</v>
      </c>
      <c r="G18" s="11"/>
      <c r="H18" s="51">
        <v>99.05</v>
      </c>
      <c r="I18" s="11"/>
    </row>
    <row r="19">
      <c r="A19" s="47" t="s">
        <v>74</v>
      </c>
      <c r="B19" s="25" t="s">
        <v>75</v>
      </c>
      <c r="C19" s="7"/>
      <c r="D19" s="49">
        <v>1909.0</v>
      </c>
      <c r="E19" s="11"/>
      <c r="F19" s="49">
        <v>1889.0</v>
      </c>
      <c r="G19" s="11"/>
      <c r="H19" s="51">
        <v>98.95</v>
      </c>
      <c r="I19" s="11"/>
    </row>
    <row r="20">
      <c r="A20" s="47" t="s">
        <v>77</v>
      </c>
      <c r="B20" s="25" t="s">
        <v>78</v>
      </c>
      <c r="C20" s="7"/>
      <c r="D20" s="49">
        <v>2766.0</v>
      </c>
      <c r="E20" s="11"/>
      <c r="F20" s="49">
        <v>2739.0</v>
      </c>
      <c r="G20" s="11"/>
      <c r="H20" s="51">
        <v>99.02</v>
      </c>
      <c r="I20" s="11"/>
    </row>
    <row r="21">
      <c r="A21" s="47" t="s">
        <v>79</v>
      </c>
      <c r="B21" s="25" t="s">
        <v>80</v>
      </c>
      <c r="C21" s="7"/>
      <c r="D21" s="49">
        <v>6232.0</v>
      </c>
      <c r="E21" s="11"/>
      <c r="F21" s="49">
        <v>6172.0</v>
      </c>
      <c r="G21" s="11"/>
      <c r="H21" s="51">
        <v>99.04</v>
      </c>
      <c r="I21" s="11"/>
    </row>
    <row r="22">
      <c r="A22" s="47" t="s">
        <v>81</v>
      </c>
      <c r="B22" s="25" t="s">
        <v>82</v>
      </c>
      <c r="C22" s="7"/>
      <c r="D22" s="49">
        <v>8314.0</v>
      </c>
      <c r="E22" s="11"/>
      <c r="F22" s="49">
        <v>8233.0</v>
      </c>
      <c r="G22" s="11"/>
      <c r="H22" s="51">
        <v>99.03</v>
      </c>
      <c r="I22" s="11"/>
    </row>
    <row r="23">
      <c r="A23" s="47" t="s">
        <v>83</v>
      </c>
      <c r="B23" s="25" t="s">
        <v>84</v>
      </c>
      <c r="C23" s="7"/>
      <c r="D23" s="49">
        <v>2829.0</v>
      </c>
      <c r="E23" s="11"/>
      <c r="F23" s="49">
        <v>2795.0</v>
      </c>
      <c r="G23" s="11"/>
      <c r="H23" s="51">
        <v>98.8</v>
      </c>
      <c r="I23" s="11"/>
    </row>
    <row r="24">
      <c r="A24" s="64" t="s">
        <v>157</v>
      </c>
      <c r="B24" s="6"/>
      <c r="C24" s="7"/>
      <c r="D24" s="65">
        <v>60954.0</v>
      </c>
      <c r="E24" s="7"/>
      <c r="F24" s="65">
        <v>60338.0</v>
      </c>
      <c r="G24" s="7"/>
      <c r="H24" s="67" t="s">
        <v>161</v>
      </c>
      <c r="I24" s="7"/>
    </row>
  </sheetData>
  <mergeCells count="73">
    <mergeCell ref="B13:C13"/>
    <mergeCell ref="D13:E13"/>
    <mergeCell ref="F13:G13"/>
    <mergeCell ref="H13:I13"/>
    <mergeCell ref="D14:E14"/>
    <mergeCell ref="F14:G14"/>
    <mergeCell ref="H14:I14"/>
    <mergeCell ref="B14:C14"/>
    <mergeCell ref="B15:C15"/>
    <mergeCell ref="D15:E15"/>
    <mergeCell ref="F15:G15"/>
    <mergeCell ref="H15:I15"/>
    <mergeCell ref="B16:C16"/>
    <mergeCell ref="D16:E16"/>
    <mergeCell ref="B17:C17"/>
    <mergeCell ref="D17:E17"/>
    <mergeCell ref="F17:G17"/>
    <mergeCell ref="H17:I17"/>
    <mergeCell ref="D18:E18"/>
    <mergeCell ref="F18:G18"/>
    <mergeCell ref="H18:I18"/>
    <mergeCell ref="B18:C18"/>
    <mergeCell ref="B19:C19"/>
    <mergeCell ref="D19:E19"/>
    <mergeCell ref="F19:G19"/>
    <mergeCell ref="H19:I19"/>
    <mergeCell ref="B20:C20"/>
    <mergeCell ref="D20:E20"/>
    <mergeCell ref="B21:C21"/>
    <mergeCell ref="D21:E21"/>
    <mergeCell ref="F21:G21"/>
    <mergeCell ref="H21:I21"/>
    <mergeCell ref="D22:E22"/>
    <mergeCell ref="F22:G22"/>
    <mergeCell ref="H22:I22"/>
    <mergeCell ref="F24:G24"/>
    <mergeCell ref="H24:I24"/>
    <mergeCell ref="B22:C22"/>
    <mergeCell ref="B23:C23"/>
    <mergeCell ref="D23:E23"/>
    <mergeCell ref="F23:G23"/>
    <mergeCell ref="H23:I23"/>
    <mergeCell ref="A24:C24"/>
    <mergeCell ref="D24:E24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H9:I9"/>
    <mergeCell ref="D10:E10"/>
    <mergeCell ref="F10:G10"/>
    <mergeCell ref="H10:I10"/>
    <mergeCell ref="F12:G12"/>
    <mergeCell ref="H12:I12"/>
    <mergeCell ref="B10:C10"/>
    <mergeCell ref="B11:C11"/>
    <mergeCell ref="D11:E11"/>
    <mergeCell ref="F11:G11"/>
    <mergeCell ref="H11:I11"/>
    <mergeCell ref="B12:C12"/>
    <mergeCell ref="D12:E12"/>
    <mergeCell ref="F16:G16"/>
    <mergeCell ref="H16:I16"/>
    <mergeCell ref="F20:G20"/>
    <mergeCell ref="H20:I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14"/>
  </cols>
  <sheetData>
    <row r="1">
      <c r="A1" s="42" t="s">
        <v>118</v>
      </c>
      <c r="B1" s="44"/>
      <c r="C1" s="45" t="s">
        <v>121</v>
      </c>
      <c r="G1" s="38"/>
      <c r="H1" s="38"/>
      <c r="I1" s="38"/>
    </row>
    <row r="2">
      <c r="A2" s="38"/>
      <c r="B2" s="44"/>
      <c r="G2" s="38"/>
      <c r="H2" s="38"/>
      <c r="I2" s="38"/>
    </row>
    <row r="3">
      <c r="A3" s="48" t="s">
        <v>124</v>
      </c>
      <c r="B3" s="4"/>
      <c r="C3" s="50" t="s">
        <v>125</v>
      </c>
      <c r="D3" s="18"/>
      <c r="E3" s="4"/>
      <c r="F3" s="50" t="s">
        <v>127</v>
      </c>
      <c r="G3" s="18"/>
      <c r="H3" s="4"/>
      <c r="I3" s="52" t="s">
        <v>129</v>
      </c>
    </row>
    <row r="4">
      <c r="A4" s="8"/>
      <c r="B4" s="9"/>
      <c r="C4" s="10"/>
      <c r="D4" s="16"/>
      <c r="E4" s="11"/>
      <c r="F4" s="10"/>
      <c r="G4" s="16"/>
      <c r="H4" s="11"/>
      <c r="I4" s="53"/>
    </row>
    <row r="5">
      <c r="A5" s="8"/>
      <c r="B5" s="9"/>
      <c r="C5" s="48" t="s">
        <v>132</v>
      </c>
      <c r="D5" s="48" t="s">
        <v>133</v>
      </c>
      <c r="E5" s="54" t="s">
        <v>134</v>
      </c>
      <c r="F5" s="48" t="s">
        <v>135</v>
      </c>
      <c r="G5" s="48" t="s">
        <v>136</v>
      </c>
      <c r="H5" s="54" t="s">
        <v>137</v>
      </c>
      <c r="I5" s="53"/>
    </row>
    <row r="6">
      <c r="A6" s="10"/>
      <c r="B6" s="11"/>
      <c r="C6" s="10"/>
      <c r="D6" s="10"/>
      <c r="E6" s="55"/>
      <c r="F6" s="10"/>
      <c r="G6" s="10"/>
      <c r="H6" s="55"/>
      <c r="I6" s="55"/>
    </row>
    <row r="7">
      <c r="A7" s="43" t="s">
        <v>11</v>
      </c>
      <c r="B7" s="7"/>
      <c r="C7" s="56" t="s">
        <v>12</v>
      </c>
      <c r="D7" s="56" t="s">
        <v>13</v>
      </c>
      <c r="E7" s="56" t="s">
        <v>14</v>
      </c>
      <c r="F7" s="56" t="s">
        <v>12</v>
      </c>
      <c r="G7" s="56" t="s">
        <v>13</v>
      </c>
      <c r="H7" s="56" t="s">
        <v>14</v>
      </c>
      <c r="I7" s="57" t="s">
        <v>29</v>
      </c>
    </row>
    <row r="8">
      <c r="A8" s="24" t="s">
        <v>31</v>
      </c>
      <c r="B8" s="58" t="s">
        <v>35</v>
      </c>
      <c r="C8" s="60">
        <v>553.0</v>
      </c>
      <c r="D8" s="60">
        <v>541.0</v>
      </c>
      <c r="E8" s="60">
        <v>1.094</v>
      </c>
      <c r="F8" s="60">
        <v>513.0</v>
      </c>
      <c r="G8" s="60">
        <v>506.0</v>
      </c>
      <c r="H8" s="61">
        <v>1019.0</v>
      </c>
      <c r="I8" s="61" t="s">
        <v>140</v>
      </c>
    </row>
    <row r="9">
      <c r="A9" s="24" t="s">
        <v>37</v>
      </c>
      <c r="B9" s="58" t="s">
        <v>38</v>
      </c>
      <c r="C9" s="60">
        <v>252.0</v>
      </c>
      <c r="D9" s="60">
        <v>211.0</v>
      </c>
      <c r="E9" s="60">
        <v>463.0</v>
      </c>
      <c r="F9" s="60">
        <v>236.0</v>
      </c>
      <c r="G9" s="60">
        <v>198.0</v>
      </c>
      <c r="H9" s="61">
        <v>434.0</v>
      </c>
      <c r="I9" s="61" t="s">
        <v>141</v>
      </c>
    </row>
    <row r="10">
      <c r="A10" s="24" t="s">
        <v>40</v>
      </c>
      <c r="B10" s="58" t="s">
        <v>41</v>
      </c>
      <c r="C10" s="60">
        <v>387.0</v>
      </c>
      <c r="D10" s="60">
        <v>355.0</v>
      </c>
      <c r="E10" s="60">
        <v>742.0</v>
      </c>
      <c r="F10" s="60">
        <v>363.0</v>
      </c>
      <c r="G10" s="60">
        <v>339.0</v>
      </c>
      <c r="H10" s="61">
        <v>702.0</v>
      </c>
      <c r="I10" s="61" t="s">
        <v>143</v>
      </c>
    </row>
    <row r="11">
      <c r="A11" s="24" t="s">
        <v>44</v>
      </c>
      <c r="B11" s="58" t="s">
        <v>45</v>
      </c>
      <c r="C11" s="60">
        <v>485.0</v>
      </c>
      <c r="D11" s="60">
        <v>423.0</v>
      </c>
      <c r="E11" s="60">
        <v>908.0</v>
      </c>
      <c r="F11" s="60">
        <v>469.0</v>
      </c>
      <c r="G11" s="60">
        <v>415.0</v>
      </c>
      <c r="H11" s="61">
        <v>884.0</v>
      </c>
      <c r="I11" s="61" t="s">
        <v>144</v>
      </c>
    </row>
    <row r="12">
      <c r="A12" s="24" t="s">
        <v>47</v>
      </c>
      <c r="B12" s="58" t="s">
        <v>48</v>
      </c>
      <c r="C12" s="60">
        <v>488.0</v>
      </c>
      <c r="D12" s="60">
        <v>432.0</v>
      </c>
      <c r="E12" s="60">
        <v>920.0</v>
      </c>
      <c r="F12" s="60">
        <v>454.0</v>
      </c>
      <c r="G12" s="60">
        <v>404.0</v>
      </c>
      <c r="H12" s="61">
        <v>858.0</v>
      </c>
      <c r="I12" s="61" t="s">
        <v>146</v>
      </c>
    </row>
    <row r="13">
      <c r="A13" s="24" t="s">
        <v>51</v>
      </c>
      <c r="B13" s="58" t="s">
        <v>52</v>
      </c>
      <c r="C13" s="60">
        <v>1.236</v>
      </c>
      <c r="D13" s="60">
        <v>1.214</v>
      </c>
      <c r="E13" s="60">
        <v>2.45</v>
      </c>
      <c r="F13" s="60">
        <v>1.197</v>
      </c>
      <c r="G13" s="60">
        <v>1167.0</v>
      </c>
      <c r="H13" s="61">
        <v>2364.0</v>
      </c>
      <c r="I13" s="61" t="s">
        <v>148</v>
      </c>
    </row>
    <row r="14">
      <c r="A14" s="24" t="s">
        <v>55</v>
      </c>
      <c r="B14" s="58" t="s">
        <v>56</v>
      </c>
      <c r="C14" s="60">
        <v>257.0</v>
      </c>
      <c r="D14" s="60">
        <v>216.0</v>
      </c>
      <c r="E14" s="60">
        <v>473.0</v>
      </c>
      <c r="F14" s="60">
        <v>239.0</v>
      </c>
      <c r="G14" s="60">
        <v>208.0</v>
      </c>
      <c r="H14" s="61">
        <v>447.0</v>
      </c>
      <c r="I14" s="61" t="s">
        <v>149</v>
      </c>
    </row>
    <row r="15">
      <c r="A15" s="24" t="s">
        <v>60</v>
      </c>
      <c r="B15" s="58" t="s">
        <v>62</v>
      </c>
      <c r="C15" s="60">
        <v>562.0</v>
      </c>
      <c r="D15" s="60">
        <v>479.0</v>
      </c>
      <c r="E15" s="60">
        <v>1.041</v>
      </c>
      <c r="F15" s="60">
        <v>539.0</v>
      </c>
      <c r="G15" s="60">
        <v>455.0</v>
      </c>
      <c r="H15" s="61">
        <v>994.0</v>
      </c>
      <c r="I15" s="61" t="s">
        <v>152</v>
      </c>
    </row>
    <row r="16">
      <c r="A16" s="24" t="s">
        <v>65</v>
      </c>
      <c r="B16" s="58" t="s">
        <v>66</v>
      </c>
      <c r="C16" s="60">
        <v>1.623</v>
      </c>
      <c r="D16" s="60">
        <v>1.483</v>
      </c>
      <c r="E16" s="60">
        <v>3.106</v>
      </c>
      <c r="F16" s="60">
        <v>1.568</v>
      </c>
      <c r="G16" s="60">
        <v>1427.0</v>
      </c>
      <c r="H16" s="61">
        <v>2995.0</v>
      </c>
      <c r="I16" s="61" t="s">
        <v>155</v>
      </c>
    </row>
    <row r="17">
      <c r="A17" s="24" t="s">
        <v>71</v>
      </c>
      <c r="B17" s="58" t="s">
        <v>72</v>
      </c>
      <c r="C17" s="60">
        <v>1.635</v>
      </c>
      <c r="D17" s="60">
        <v>1.555</v>
      </c>
      <c r="E17" s="60">
        <v>3.19</v>
      </c>
      <c r="F17" s="60">
        <v>1.571</v>
      </c>
      <c r="G17" s="60">
        <v>1503.0</v>
      </c>
      <c r="H17" s="61">
        <v>3074.0</v>
      </c>
      <c r="I17" s="61" t="s">
        <v>159</v>
      </c>
    </row>
    <row r="18">
      <c r="A18" s="24" t="s">
        <v>74</v>
      </c>
      <c r="B18" s="58" t="s">
        <v>75</v>
      </c>
      <c r="C18" s="60">
        <v>351.0</v>
      </c>
      <c r="D18" s="60">
        <v>352.0</v>
      </c>
      <c r="E18" s="60">
        <v>703.0</v>
      </c>
      <c r="F18" s="60">
        <v>346.0</v>
      </c>
      <c r="G18" s="60">
        <v>344.0</v>
      </c>
      <c r="H18" s="61">
        <v>690.0</v>
      </c>
      <c r="I18" s="61" t="s">
        <v>162</v>
      </c>
    </row>
    <row r="19">
      <c r="A19" s="24" t="s">
        <v>77</v>
      </c>
      <c r="B19" s="58" t="s">
        <v>78</v>
      </c>
      <c r="C19" s="60">
        <v>483.0</v>
      </c>
      <c r="D19" s="60">
        <v>470.0</v>
      </c>
      <c r="E19" s="60">
        <v>953.0</v>
      </c>
      <c r="F19" s="60">
        <v>465.0</v>
      </c>
      <c r="G19" s="60">
        <v>461.0</v>
      </c>
      <c r="H19" s="61">
        <v>926.0</v>
      </c>
      <c r="I19" s="61" t="s">
        <v>165</v>
      </c>
    </row>
    <row r="20">
      <c r="A20" s="24" t="s">
        <v>79</v>
      </c>
      <c r="B20" s="58" t="s">
        <v>80</v>
      </c>
      <c r="C20" s="60">
        <v>1.179</v>
      </c>
      <c r="D20" s="60">
        <v>1.103</v>
      </c>
      <c r="E20" s="60">
        <v>2.282</v>
      </c>
      <c r="F20" s="60">
        <v>1.148</v>
      </c>
      <c r="G20" s="60">
        <v>1078.0</v>
      </c>
      <c r="H20" s="61">
        <v>2226.0</v>
      </c>
      <c r="I20" s="61" t="s">
        <v>168</v>
      </c>
    </row>
    <row r="21">
      <c r="A21" s="24" t="s">
        <v>81</v>
      </c>
      <c r="B21" s="58" t="s">
        <v>82</v>
      </c>
      <c r="C21" s="60">
        <v>1.651</v>
      </c>
      <c r="D21" s="60">
        <v>1.539</v>
      </c>
      <c r="E21" s="60">
        <v>3.19</v>
      </c>
      <c r="F21" s="60">
        <v>1.544</v>
      </c>
      <c r="G21" s="60">
        <v>1454.0</v>
      </c>
      <c r="H21" s="61">
        <v>2998.0</v>
      </c>
      <c r="I21" s="61" t="s">
        <v>172</v>
      </c>
    </row>
    <row r="22">
      <c r="A22" s="24" t="s">
        <v>83</v>
      </c>
      <c r="B22" s="58" t="s">
        <v>84</v>
      </c>
      <c r="C22" s="60">
        <v>606.0</v>
      </c>
      <c r="D22" s="60">
        <v>551.0</v>
      </c>
      <c r="E22" s="60">
        <v>1.157</v>
      </c>
      <c r="F22" s="60">
        <v>579.0</v>
      </c>
      <c r="G22" s="60">
        <v>539.0</v>
      </c>
      <c r="H22" s="61">
        <v>1118.0</v>
      </c>
      <c r="I22" s="61" t="s">
        <v>177</v>
      </c>
    </row>
    <row r="23">
      <c r="A23" s="69" t="s">
        <v>179</v>
      </c>
      <c r="B23" s="7"/>
      <c r="C23" s="70">
        <v>11.748</v>
      </c>
      <c r="D23" s="70">
        <v>10.924</v>
      </c>
      <c r="E23" s="70">
        <v>22.672</v>
      </c>
      <c r="F23" s="70">
        <v>11.231</v>
      </c>
      <c r="G23" s="70">
        <v>10498.0</v>
      </c>
      <c r="H23" s="71">
        <v>21729.0</v>
      </c>
      <c r="I23" s="71" t="s">
        <v>185</v>
      </c>
    </row>
  </sheetData>
  <mergeCells count="13">
    <mergeCell ref="E5:E6"/>
    <mergeCell ref="F5:F6"/>
    <mergeCell ref="A23:B23"/>
    <mergeCell ref="G5:G6"/>
    <mergeCell ref="H5:H6"/>
    <mergeCell ref="C1:F2"/>
    <mergeCell ref="A3:B6"/>
    <mergeCell ref="C3:E4"/>
    <mergeCell ref="F3:H4"/>
    <mergeCell ref="I3:I6"/>
    <mergeCell ref="C5:C6"/>
    <mergeCell ref="D5:D6"/>
    <mergeCell ref="A7:B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9" t="s">
        <v>138</v>
      </c>
      <c r="B1" s="39" t="s">
        <v>139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A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A3" s="40" t="s">
        <v>145</v>
      </c>
      <c r="B3" s="18"/>
      <c r="C3" s="4"/>
      <c r="D3" s="62" t="s">
        <v>147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>
      <c r="A4" s="8"/>
      <c r="C4" s="9"/>
      <c r="D4" s="62" t="s">
        <v>150</v>
      </c>
      <c r="E4" s="6"/>
      <c r="F4" s="7"/>
      <c r="G4" s="63" t="s">
        <v>151</v>
      </c>
      <c r="H4" s="6"/>
      <c r="I4" s="7"/>
      <c r="J4" s="63" t="s">
        <v>153</v>
      </c>
      <c r="K4" s="6"/>
      <c r="L4" s="7"/>
      <c r="M4" s="63" t="s">
        <v>154</v>
      </c>
      <c r="N4" s="6"/>
      <c r="O4" s="7"/>
      <c r="P4" s="63" t="s">
        <v>156</v>
      </c>
      <c r="Q4" s="6"/>
      <c r="R4" s="7"/>
      <c r="S4" s="63" t="s">
        <v>158</v>
      </c>
      <c r="T4" s="6"/>
      <c r="U4" s="7"/>
      <c r="V4" s="63" t="s">
        <v>160</v>
      </c>
      <c r="W4" s="6"/>
      <c r="X4" s="7"/>
      <c r="Y4" s="66"/>
    </row>
    <row r="5">
      <c r="A5" s="8"/>
      <c r="C5" s="9"/>
      <c r="D5" s="68" t="s">
        <v>163</v>
      </c>
      <c r="E5" s="68" t="s">
        <v>164</v>
      </c>
      <c r="F5" s="68" t="s">
        <v>166</v>
      </c>
      <c r="G5" s="68" t="s">
        <v>167</v>
      </c>
      <c r="H5" s="68" t="s">
        <v>169</v>
      </c>
      <c r="I5" s="68" t="s">
        <v>170</v>
      </c>
      <c r="J5" s="68" t="s">
        <v>171</v>
      </c>
      <c r="K5" s="68" t="s">
        <v>173</v>
      </c>
      <c r="L5" s="68" t="s">
        <v>174</v>
      </c>
      <c r="M5" s="68" t="s">
        <v>175</v>
      </c>
      <c r="N5" s="68" t="s">
        <v>176</v>
      </c>
      <c r="O5" s="68" t="s">
        <v>178</v>
      </c>
      <c r="P5" s="68" t="s">
        <v>180</v>
      </c>
      <c r="Q5" s="68" t="s">
        <v>181</v>
      </c>
      <c r="R5" s="68" t="s">
        <v>182</v>
      </c>
      <c r="S5" s="68" t="s">
        <v>183</v>
      </c>
      <c r="T5" s="68" t="s">
        <v>184</v>
      </c>
      <c r="U5" s="68" t="s">
        <v>186</v>
      </c>
      <c r="V5" s="68" t="s">
        <v>187</v>
      </c>
      <c r="W5" s="68" t="s">
        <v>188</v>
      </c>
      <c r="X5" s="68" t="s">
        <v>189</v>
      </c>
      <c r="Y5" s="68" t="s">
        <v>190</v>
      </c>
    </row>
    <row r="6">
      <c r="A6" s="10"/>
      <c r="B6" s="16"/>
      <c r="C6" s="11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>
      <c r="A7" s="72" t="s">
        <v>11</v>
      </c>
      <c r="B7" s="6"/>
      <c r="C7" s="7"/>
      <c r="D7" s="73" t="s">
        <v>12</v>
      </c>
      <c r="E7" s="6"/>
      <c r="F7" s="7"/>
      <c r="G7" s="73" t="s">
        <v>13</v>
      </c>
      <c r="H7" s="6"/>
      <c r="I7" s="7"/>
      <c r="J7" s="72" t="s">
        <v>14</v>
      </c>
      <c r="K7" s="7"/>
      <c r="L7" s="73" t="s">
        <v>29</v>
      </c>
      <c r="M7" s="6"/>
      <c r="N7" s="7"/>
      <c r="O7" s="72" t="s">
        <v>30</v>
      </c>
      <c r="P7" s="6"/>
      <c r="Q7" s="7"/>
      <c r="R7" s="72" t="s">
        <v>32</v>
      </c>
      <c r="S7" s="7"/>
      <c r="T7" s="73" t="s">
        <v>34</v>
      </c>
      <c r="U7" s="6"/>
      <c r="V7" s="7"/>
      <c r="W7" s="72" t="s">
        <v>108</v>
      </c>
      <c r="X7" s="6"/>
      <c r="Y7" s="7"/>
    </row>
    <row r="8">
      <c r="A8" s="24" t="s">
        <v>31</v>
      </c>
      <c r="B8" s="25" t="s">
        <v>35</v>
      </c>
      <c r="C8" s="7"/>
      <c r="D8" s="74">
        <v>2099.0</v>
      </c>
      <c r="E8" s="74">
        <v>2093.0</v>
      </c>
      <c r="F8" s="74">
        <v>4192.0</v>
      </c>
      <c r="G8" s="75" t="s">
        <v>199</v>
      </c>
      <c r="H8" s="75" t="s">
        <v>199</v>
      </c>
      <c r="I8" s="75" t="s">
        <v>199</v>
      </c>
      <c r="J8" s="75" t="s">
        <v>199</v>
      </c>
      <c r="K8" s="76" t="s">
        <v>199</v>
      </c>
      <c r="L8" s="76" t="s">
        <v>199</v>
      </c>
      <c r="M8" s="75" t="s">
        <v>199</v>
      </c>
      <c r="N8" s="75" t="s">
        <v>199</v>
      </c>
      <c r="O8" s="75" t="s">
        <v>199</v>
      </c>
      <c r="P8" s="75" t="s">
        <v>199</v>
      </c>
      <c r="Q8" s="75" t="s">
        <v>199</v>
      </c>
      <c r="R8" s="75" t="s">
        <v>199</v>
      </c>
      <c r="S8" s="75" t="s">
        <v>199</v>
      </c>
      <c r="T8" s="75" t="s">
        <v>199</v>
      </c>
      <c r="U8" s="75" t="s">
        <v>199</v>
      </c>
      <c r="V8" s="75" t="s">
        <v>199</v>
      </c>
      <c r="W8" s="75" t="s">
        <v>199</v>
      </c>
      <c r="X8" s="75" t="s">
        <v>199</v>
      </c>
      <c r="Y8" s="66"/>
    </row>
    <row r="9">
      <c r="A9" s="24" t="s">
        <v>37</v>
      </c>
      <c r="B9" s="25" t="s">
        <v>38</v>
      </c>
      <c r="C9" s="7"/>
      <c r="D9" s="74">
        <v>931.0</v>
      </c>
      <c r="E9" s="74">
        <v>873.0</v>
      </c>
      <c r="F9" s="74">
        <v>1804.0</v>
      </c>
      <c r="G9" s="76" t="s">
        <v>199</v>
      </c>
      <c r="H9" s="76" t="s">
        <v>199</v>
      </c>
      <c r="I9" s="76" t="s">
        <v>199</v>
      </c>
      <c r="J9" s="76" t="s">
        <v>199</v>
      </c>
      <c r="K9" s="76" t="s">
        <v>199</v>
      </c>
      <c r="L9" s="76" t="s">
        <v>199</v>
      </c>
      <c r="M9" s="75" t="s">
        <v>199</v>
      </c>
      <c r="N9" s="75" t="s">
        <v>199</v>
      </c>
      <c r="O9" s="75" t="s">
        <v>199</v>
      </c>
      <c r="P9" s="75" t="s">
        <v>199</v>
      </c>
      <c r="Q9" s="75" t="s">
        <v>199</v>
      </c>
      <c r="R9" s="75" t="s">
        <v>199</v>
      </c>
      <c r="S9" s="75" t="s">
        <v>199</v>
      </c>
      <c r="T9" s="75" t="s">
        <v>199</v>
      </c>
      <c r="U9" s="75" t="s">
        <v>199</v>
      </c>
      <c r="V9" s="75" t="s">
        <v>199</v>
      </c>
      <c r="W9" s="75" t="s">
        <v>199</v>
      </c>
      <c r="X9" s="75" t="s">
        <v>199</v>
      </c>
      <c r="Y9" s="66"/>
    </row>
    <row r="10">
      <c r="A10" s="24" t="s">
        <v>40</v>
      </c>
      <c r="B10" s="25" t="s">
        <v>41</v>
      </c>
      <c r="C10" s="7"/>
      <c r="D10" s="74">
        <v>1349.0</v>
      </c>
      <c r="E10" s="74">
        <v>1319.0</v>
      </c>
      <c r="F10" s="74">
        <v>2668.0</v>
      </c>
      <c r="G10" s="75" t="s">
        <v>199</v>
      </c>
      <c r="H10" s="75" t="s">
        <v>199</v>
      </c>
      <c r="I10" s="75" t="s">
        <v>199</v>
      </c>
      <c r="J10" s="75" t="s">
        <v>199</v>
      </c>
      <c r="K10" s="75" t="s">
        <v>199</v>
      </c>
      <c r="L10" s="75" t="s">
        <v>199</v>
      </c>
      <c r="M10" s="75" t="s">
        <v>199</v>
      </c>
      <c r="N10" s="75" t="s">
        <v>199</v>
      </c>
      <c r="O10" s="75" t="s">
        <v>199</v>
      </c>
      <c r="P10" s="75" t="s">
        <v>199</v>
      </c>
      <c r="Q10" s="75" t="s">
        <v>199</v>
      </c>
      <c r="R10" s="75" t="s">
        <v>199</v>
      </c>
      <c r="S10" s="75" t="s">
        <v>199</v>
      </c>
      <c r="T10" s="75" t="s">
        <v>199</v>
      </c>
      <c r="U10" s="75" t="s">
        <v>199</v>
      </c>
      <c r="V10" s="75" t="s">
        <v>199</v>
      </c>
      <c r="W10" s="75" t="s">
        <v>199</v>
      </c>
      <c r="X10" s="75" t="s">
        <v>199</v>
      </c>
      <c r="Y10" s="66"/>
    </row>
    <row r="11">
      <c r="A11" s="24" t="s">
        <v>44</v>
      </c>
      <c r="B11" s="25" t="s">
        <v>45</v>
      </c>
      <c r="C11" s="7"/>
      <c r="D11" s="74">
        <v>1682.0</v>
      </c>
      <c r="E11" s="74">
        <v>1645.0</v>
      </c>
      <c r="F11" s="74">
        <v>3327.0</v>
      </c>
      <c r="G11" s="75" t="s">
        <v>199</v>
      </c>
      <c r="H11" s="75" t="s">
        <v>199</v>
      </c>
      <c r="I11" s="75" t="s">
        <v>199</v>
      </c>
      <c r="J11" s="75">
        <v>2.0</v>
      </c>
      <c r="K11" s="75">
        <v>2.0</v>
      </c>
      <c r="L11" s="75">
        <v>4.0</v>
      </c>
      <c r="M11" s="75" t="s">
        <v>199</v>
      </c>
      <c r="N11" s="75" t="s">
        <v>199</v>
      </c>
      <c r="O11" s="75" t="s">
        <v>199</v>
      </c>
      <c r="P11" s="75" t="s">
        <v>199</v>
      </c>
      <c r="Q11" s="75" t="s">
        <v>199</v>
      </c>
      <c r="R11" s="75" t="s">
        <v>199</v>
      </c>
      <c r="S11" s="75" t="s">
        <v>199</v>
      </c>
      <c r="T11" s="75" t="s">
        <v>199</v>
      </c>
      <c r="U11" s="75" t="s">
        <v>199</v>
      </c>
      <c r="V11" s="75" t="s">
        <v>199</v>
      </c>
      <c r="W11" s="75" t="s">
        <v>199</v>
      </c>
      <c r="X11" s="75" t="s">
        <v>199</v>
      </c>
      <c r="Y11" s="66"/>
    </row>
    <row r="12">
      <c r="A12" s="24" t="s">
        <v>47</v>
      </c>
      <c r="B12" s="25" t="s">
        <v>48</v>
      </c>
      <c r="C12" s="7"/>
      <c r="D12" s="74">
        <v>1789.0</v>
      </c>
      <c r="E12" s="74">
        <v>1696.0</v>
      </c>
      <c r="F12" s="74">
        <v>3485.0</v>
      </c>
      <c r="G12" s="75">
        <v>1.0</v>
      </c>
      <c r="H12" s="75" t="s">
        <v>199</v>
      </c>
      <c r="I12" s="75">
        <v>1.0</v>
      </c>
      <c r="J12" s="76" t="s">
        <v>199</v>
      </c>
      <c r="K12" s="76" t="s">
        <v>199</v>
      </c>
      <c r="L12" s="76" t="s">
        <v>199</v>
      </c>
      <c r="M12" s="75" t="s">
        <v>199</v>
      </c>
      <c r="N12" s="75" t="s">
        <v>199</v>
      </c>
      <c r="O12" s="75" t="s">
        <v>199</v>
      </c>
      <c r="P12" s="75">
        <v>1.0</v>
      </c>
      <c r="Q12" s="75" t="s">
        <v>199</v>
      </c>
      <c r="R12" s="75">
        <v>1.0</v>
      </c>
      <c r="S12" s="75" t="s">
        <v>199</v>
      </c>
      <c r="T12" s="75" t="s">
        <v>199</v>
      </c>
      <c r="U12" s="75" t="s">
        <v>199</v>
      </c>
      <c r="V12" s="76" t="s">
        <v>199</v>
      </c>
      <c r="W12" s="75" t="s">
        <v>199</v>
      </c>
      <c r="X12" s="76" t="s">
        <v>199</v>
      </c>
      <c r="Y12" s="66"/>
    </row>
    <row r="13">
      <c r="A13" s="24" t="s">
        <v>51</v>
      </c>
      <c r="B13" s="25" t="s">
        <v>52</v>
      </c>
      <c r="C13" s="7"/>
      <c r="D13" s="74">
        <v>4534.0</v>
      </c>
      <c r="E13" s="74">
        <v>4488.0</v>
      </c>
      <c r="F13" s="74">
        <v>9022.0</v>
      </c>
      <c r="G13" s="76">
        <v>3.0</v>
      </c>
      <c r="H13" s="76">
        <v>8.0</v>
      </c>
      <c r="I13" s="76">
        <v>11.0</v>
      </c>
      <c r="J13" s="76">
        <v>81.0</v>
      </c>
      <c r="K13" s="76">
        <v>94.0</v>
      </c>
      <c r="L13" s="76">
        <v>175.0</v>
      </c>
      <c r="M13" s="75" t="s">
        <v>199</v>
      </c>
      <c r="N13" s="75" t="s">
        <v>199</v>
      </c>
      <c r="O13" s="75" t="s">
        <v>199</v>
      </c>
      <c r="P13" s="75">
        <v>48.0</v>
      </c>
      <c r="Q13" s="75">
        <v>47.0</v>
      </c>
      <c r="R13" s="75">
        <v>95.0</v>
      </c>
      <c r="S13" s="75">
        <v>2.0</v>
      </c>
      <c r="T13" s="75">
        <v>1.0</v>
      </c>
      <c r="U13" s="75">
        <v>3.0</v>
      </c>
      <c r="V13" s="76" t="s">
        <v>199</v>
      </c>
      <c r="W13" s="75" t="s">
        <v>199</v>
      </c>
      <c r="X13" s="76" t="s">
        <v>199</v>
      </c>
      <c r="Y13" s="66"/>
    </row>
    <row r="14">
      <c r="A14" s="24" t="s">
        <v>55</v>
      </c>
      <c r="B14" s="25" t="s">
        <v>56</v>
      </c>
      <c r="C14" s="7"/>
      <c r="D14" s="74">
        <v>932.0</v>
      </c>
      <c r="E14" s="74">
        <v>918.0</v>
      </c>
      <c r="F14" s="74">
        <v>1850.0</v>
      </c>
      <c r="G14" s="76">
        <v>1.0</v>
      </c>
      <c r="H14" s="76">
        <v>1.0</v>
      </c>
      <c r="I14" s="76">
        <v>2.0</v>
      </c>
      <c r="J14" s="76">
        <v>1.0</v>
      </c>
      <c r="K14" s="76" t="s">
        <v>199</v>
      </c>
      <c r="L14" s="76">
        <v>1.0</v>
      </c>
      <c r="M14" s="75" t="s">
        <v>199</v>
      </c>
      <c r="N14" s="75" t="s">
        <v>199</v>
      </c>
      <c r="O14" s="75" t="s">
        <v>199</v>
      </c>
      <c r="P14" s="75" t="s">
        <v>199</v>
      </c>
      <c r="Q14" s="75" t="s">
        <v>199</v>
      </c>
      <c r="R14" s="75" t="s">
        <v>199</v>
      </c>
      <c r="S14" s="75" t="s">
        <v>199</v>
      </c>
      <c r="T14" s="75" t="s">
        <v>199</v>
      </c>
      <c r="U14" s="75" t="s">
        <v>199</v>
      </c>
      <c r="V14" s="75" t="s">
        <v>199</v>
      </c>
      <c r="W14" s="75" t="s">
        <v>199</v>
      </c>
      <c r="X14" s="75" t="s">
        <v>199</v>
      </c>
      <c r="Y14" s="66"/>
    </row>
    <row r="15">
      <c r="A15" s="24" t="s">
        <v>60</v>
      </c>
      <c r="B15" s="25" t="s">
        <v>62</v>
      </c>
      <c r="C15" s="7"/>
      <c r="D15" s="74">
        <v>2036.0</v>
      </c>
      <c r="E15" s="74">
        <v>1960.0</v>
      </c>
      <c r="F15" s="74">
        <v>3996.0</v>
      </c>
      <c r="G15" s="75" t="s">
        <v>199</v>
      </c>
      <c r="H15" s="75" t="s">
        <v>199</v>
      </c>
      <c r="I15" s="75" t="s">
        <v>199</v>
      </c>
      <c r="J15" s="76">
        <v>1.0</v>
      </c>
      <c r="K15" s="76">
        <v>3.0</v>
      </c>
      <c r="L15" s="76">
        <v>4.0</v>
      </c>
      <c r="M15" s="75" t="s">
        <v>199</v>
      </c>
      <c r="N15" s="75" t="s">
        <v>199</v>
      </c>
      <c r="O15" s="75" t="s">
        <v>199</v>
      </c>
      <c r="P15" s="75" t="s">
        <v>199</v>
      </c>
      <c r="Q15" s="75" t="s">
        <v>199</v>
      </c>
      <c r="R15" s="75" t="s">
        <v>199</v>
      </c>
      <c r="S15" s="75" t="s">
        <v>199</v>
      </c>
      <c r="T15" s="75" t="s">
        <v>199</v>
      </c>
      <c r="U15" s="75" t="s">
        <v>199</v>
      </c>
      <c r="V15" s="75" t="s">
        <v>199</v>
      </c>
      <c r="W15" s="75" t="s">
        <v>199</v>
      </c>
      <c r="X15" s="75" t="s">
        <v>199</v>
      </c>
      <c r="Y15" s="66"/>
    </row>
    <row r="16">
      <c r="A16" s="24" t="s">
        <v>65</v>
      </c>
      <c r="B16" s="25" t="s">
        <v>66</v>
      </c>
      <c r="C16" s="7"/>
      <c r="D16" s="74">
        <v>5723.0</v>
      </c>
      <c r="E16" s="74">
        <v>5677.0</v>
      </c>
      <c r="F16" s="74">
        <v>11400.0</v>
      </c>
      <c r="G16" s="76">
        <v>2.0</v>
      </c>
      <c r="H16" s="76">
        <v>3.0</v>
      </c>
      <c r="I16" s="76">
        <v>5.0</v>
      </c>
      <c r="J16" s="76">
        <v>1.0</v>
      </c>
      <c r="K16" s="76" t="s">
        <v>199</v>
      </c>
      <c r="L16" s="76">
        <v>1.0</v>
      </c>
      <c r="M16" s="75" t="s">
        <v>199</v>
      </c>
      <c r="N16" s="75" t="s">
        <v>199</v>
      </c>
      <c r="O16" s="75" t="s">
        <v>199</v>
      </c>
      <c r="P16" s="76" t="s">
        <v>199</v>
      </c>
      <c r="Q16" s="76" t="s">
        <v>199</v>
      </c>
      <c r="R16" s="76" t="s">
        <v>199</v>
      </c>
      <c r="S16" s="75" t="s">
        <v>199</v>
      </c>
      <c r="T16" s="75" t="s">
        <v>199</v>
      </c>
      <c r="U16" s="75" t="s">
        <v>199</v>
      </c>
      <c r="V16" s="75">
        <v>5.0</v>
      </c>
      <c r="W16" s="75" t="s">
        <v>199</v>
      </c>
      <c r="X16" s="75">
        <v>5.0</v>
      </c>
      <c r="Y16" s="66"/>
    </row>
    <row r="17">
      <c r="A17" s="24" t="s">
        <v>71</v>
      </c>
      <c r="B17" s="25" t="s">
        <v>72</v>
      </c>
      <c r="C17" s="7"/>
      <c r="D17" s="74">
        <v>5714.0</v>
      </c>
      <c r="E17" s="74">
        <v>5719.0</v>
      </c>
      <c r="F17" s="74">
        <v>11433.0</v>
      </c>
      <c r="G17" s="76" t="s">
        <v>199</v>
      </c>
      <c r="H17" s="76" t="s">
        <v>199</v>
      </c>
      <c r="I17" s="76" t="s">
        <v>199</v>
      </c>
      <c r="J17" s="76" t="s">
        <v>199</v>
      </c>
      <c r="K17" s="76" t="s">
        <v>199</v>
      </c>
      <c r="L17" s="76" t="s">
        <v>199</v>
      </c>
      <c r="M17" s="75" t="s">
        <v>199</v>
      </c>
      <c r="N17" s="75" t="s">
        <v>199</v>
      </c>
      <c r="O17" s="75" t="s">
        <v>199</v>
      </c>
      <c r="P17" s="75" t="s">
        <v>199</v>
      </c>
      <c r="Q17" s="75" t="s">
        <v>199</v>
      </c>
      <c r="R17" s="75" t="s">
        <v>199</v>
      </c>
      <c r="S17" s="75" t="s">
        <v>199</v>
      </c>
      <c r="T17" s="75" t="s">
        <v>199</v>
      </c>
      <c r="U17" s="75" t="s">
        <v>199</v>
      </c>
      <c r="V17" s="75" t="s">
        <v>199</v>
      </c>
      <c r="W17" s="75" t="s">
        <v>199</v>
      </c>
      <c r="X17" s="75" t="s">
        <v>199</v>
      </c>
      <c r="Y17" s="66"/>
    </row>
    <row r="18">
      <c r="A18" s="24" t="s">
        <v>74</v>
      </c>
      <c r="B18" s="25" t="s">
        <v>75</v>
      </c>
      <c r="C18" s="7"/>
      <c r="D18" s="74">
        <v>1301.0</v>
      </c>
      <c r="E18" s="74">
        <v>1327.0</v>
      </c>
      <c r="F18" s="74">
        <v>2628.0</v>
      </c>
      <c r="G18" s="76">
        <v>1.0</v>
      </c>
      <c r="H18" s="76" t="s">
        <v>199</v>
      </c>
      <c r="I18" s="76">
        <v>1.0</v>
      </c>
      <c r="J18" s="76" t="s">
        <v>199</v>
      </c>
      <c r="K18" s="76" t="s">
        <v>199</v>
      </c>
      <c r="L18" s="76" t="s">
        <v>199</v>
      </c>
      <c r="M18" s="75" t="s">
        <v>199</v>
      </c>
      <c r="N18" s="75" t="s">
        <v>199</v>
      </c>
      <c r="O18" s="75" t="s">
        <v>199</v>
      </c>
      <c r="P18" s="75" t="s">
        <v>199</v>
      </c>
      <c r="Q18" s="75" t="s">
        <v>199</v>
      </c>
      <c r="R18" s="75" t="s">
        <v>199</v>
      </c>
      <c r="S18" s="75" t="s">
        <v>199</v>
      </c>
      <c r="T18" s="75" t="s">
        <v>199</v>
      </c>
      <c r="U18" s="75" t="s">
        <v>199</v>
      </c>
      <c r="V18" s="75" t="s">
        <v>199</v>
      </c>
      <c r="W18" s="75" t="s">
        <v>199</v>
      </c>
      <c r="X18" s="75" t="s">
        <v>199</v>
      </c>
      <c r="Y18" s="66"/>
    </row>
    <row r="19">
      <c r="A19" s="24" t="s">
        <v>77</v>
      </c>
      <c r="B19" s="25" t="s">
        <v>78</v>
      </c>
      <c r="C19" s="7"/>
      <c r="D19" s="74">
        <v>1854.0</v>
      </c>
      <c r="E19" s="74">
        <v>1863.0</v>
      </c>
      <c r="F19" s="74">
        <v>3717.0</v>
      </c>
      <c r="G19" s="76">
        <v>6.0</v>
      </c>
      <c r="H19" s="76">
        <v>5.0</v>
      </c>
      <c r="I19" s="76">
        <v>11.0</v>
      </c>
      <c r="J19" s="76" t="s">
        <v>199</v>
      </c>
      <c r="K19" s="76" t="s">
        <v>199</v>
      </c>
      <c r="L19" s="76" t="s">
        <v>199</v>
      </c>
      <c r="M19" s="75" t="s">
        <v>199</v>
      </c>
      <c r="N19" s="75" t="s">
        <v>199</v>
      </c>
      <c r="O19" s="75" t="s">
        <v>199</v>
      </c>
      <c r="P19" s="75" t="s">
        <v>199</v>
      </c>
      <c r="Q19" s="75" t="s">
        <v>199</v>
      </c>
      <c r="R19" s="75" t="s">
        <v>199</v>
      </c>
      <c r="S19" s="75" t="s">
        <v>199</v>
      </c>
      <c r="T19" s="75" t="s">
        <v>199</v>
      </c>
      <c r="U19" s="75" t="s">
        <v>199</v>
      </c>
      <c r="V19" s="76" t="s">
        <v>199</v>
      </c>
      <c r="W19" s="75">
        <v>1.0</v>
      </c>
      <c r="X19" s="76">
        <v>1.0</v>
      </c>
      <c r="Y19" s="66"/>
    </row>
    <row r="20">
      <c r="A20" s="24" t="s">
        <v>79</v>
      </c>
      <c r="B20" s="25" t="s">
        <v>80</v>
      </c>
      <c r="C20" s="7"/>
      <c r="D20" s="74">
        <v>4321.0</v>
      </c>
      <c r="E20" s="74">
        <v>4211.0</v>
      </c>
      <c r="F20" s="74">
        <v>8532.0</v>
      </c>
      <c r="G20" s="76" t="s">
        <v>199</v>
      </c>
      <c r="H20" s="76" t="s">
        <v>199</v>
      </c>
      <c r="I20" s="76" t="s">
        <v>199</v>
      </c>
      <c r="J20" s="76" t="s">
        <v>199</v>
      </c>
      <c r="K20" s="76" t="s">
        <v>199</v>
      </c>
      <c r="L20" s="76" t="s">
        <v>199</v>
      </c>
      <c r="M20" s="75" t="s">
        <v>199</v>
      </c>
      <c r="N20" s="75" t="s">
        <v>199</v>
      </c>
      <c r="O20" s="75" t="s">
        <v>199</v>
      </c>
      <c r="P20" s="75" t="s">
        <v>199</v>
      </c>
      <c r="Q20" s="75" t="s">
        <v>199</v>
      </c>
      <c r="R20" s="75" t="s">
        <v>199</v>
      </c>
      <c r="S20" s="75" t="s">
        <v>199</v>
      </c>
      <c r="T20" s="75" t="s">
        <v>199</v>
      </c>
      <c r="U20" s="75" t="s">
        <v>199</v>
      </c>
      <c r="V20" s="76" t="s">
        <v>199</v>
      </c>
      <c r="W20" s="75" t="s">
        <v>199</v>
      </c>
      <c r="X20" s="76" t="s">
        <v>199</v>
      </c>
      <c r="Y20" s="66"/>
    </row>
    <row r="21">
      <c r="A21" s="24" t="s">
        <v>81</v>
      </c>
      <c r="B21" s="25" t="s">
        <v>82</v>
      </c>
      <c r="C21" s="7"/>
      <c r="D21" s="74">
        <v>5817.0</v>
      </c>
      <c r="E21" s="74">
        <v>5729.0</v>
      </c>
      <c r="F21" s="74">
        <v>11546.0</v>
      </c>
      <c r="G21" s="76" t="s">
        <v>199</v>
      </c>
      <c r="H21" s="76" t="s">
        <v>199</v>
      </c>
      <c r="I21" s="76" t="s">
        <v>199</v>
      </c>
      <c r="J21" s="76">
        <v>2.0</v>
      </c>
      <c r="K21" s="76">
        <v>4.0</v>
      </c>
      <c r="L21" s="76">
        <v>6.0</v>
      </c>
      <c r="M21" s="75" t="s">
        <v>199</v>
      </c>
      <c r="N21" s="75" t="s">
        <v>199</v>
      </c>
      <c r="O21" s="75" t="s">
        <v>199</v>
      </c>
      <c r="P21" s="75" t="s">
        <v>199</v>
      </c>
      <c r="Q21" s="75" t="s">
        <v>199</v>
      </c>
      <c r="R21" s="75" t="s">
        <v>199</v>
      </c>
      <c r="S21" s="75" t="s">
        <v>199</v>
      </c>
      <c r="T21" s="75" t="s">
        <v>199</v>
      </c>
      <c r="U21" s="75" t="s">
        <v>199</v>
      </c>
      <c r="V21" s="76" t="s">
        <v>199</v>
      </c>
      <c r="W21" s="75" t="s">
        <v>199</v>
      </c>
      <c r="X21" s="76" t="s">
        <v>199</v>
      </c>
      <c r="Y21" s="66"/>
    </row>
    <row r="22">
      <c r="A22" s="24" t="s">
        <v>83</v>
      </c>
      <c r="B22" s="25" t="s">
        <v>84</v>
      </c>
      <c r="C22" s="7"/>
      <c r="D22" s="74">
        <v>2008.0</v>
      </c>
      <c r="E22" s="74">
        <v>1990.0</v>
      </c>
      <c r="F22" s="74">
        <v>3998.0</v>
      </c>
      <c r="G22" s="76" t="s">
        <v>199</v>
      </c>
      <c r="H22" s="76" t="s">
        <v>199</v>
      </c>
      <c r="I22" s="76" t="s">
        <v>199</v>
      </c>
      <c r="J22" s="76" t="s">
        <v>199</v>
      </c>
      <c r="K22" s="76" t="s">
        <v>199</v>
      </c>
      <c r="L22" s="76" t="s">
        <v>199</v>
      </c>
      <c r="M22" s="75" t="s">
        <v>199</v>
      </c>
      <c r="N22" s="75" t="s">
        <v>199</v>
      </c>
      <c r="O22" s="75" t="s">
        <v>199</v>
      </c>
      <c r="P22" s="75" t="s">
        <v>199</v>
      </c>
      <c r="Q22" s="75" t="s">
        <v>199</v>
      </c>
      <c r="R22" s="75" t="s">
        <v>199</v>
      </c>
      <c r="S22" s="75" t="s">
        <v>199</v>
      </c>
      <c r="T22" s="75" t="s">
        <v>199</v>
      </c>
      <c r="U22" s="75" t="s">
        <v>199</v>
      </c>
      <c r="V22" s="76" t="s">
        <v>199</v>
      </c>
      <c r="W22" s="75" t="s">
        <v>199</v>
      </c>
      <c r="X22" s="76" t="s">
        <v>199</v>
      </c>
      <c r="Y22" s="66"/>
    </row>
    <row r="23">
      <c r="A23" s="77" t="s">
        <v>52</v>
      </c>
      <c r="B23" s="6"/>
      <c r="C23" s="7"/>
      <c r="D23" s="78">
        <v>42090.0</v>
      </c>
      <c r="E23" s="78">
        <v>41508.0</v>
      </c>
      <c r="F23" s="78">
        <v>83598.0</v>
      </c>
      <c r="G23" s="79">
        <v>14.0</v>
      </c>
      <c r="H23" s="79">
        <v>17.0</v>
      </c>
      <c r="I23" s="79">
        <v>31.0</v>
      </c>
      <c r="J23" s="79">
        <v>88.0</v>
      </c>
      <c r="K23" s="79">
        <v>103.0</v>
      </c>
      <c r="L23" s="79">
        <v>191.0</v>
      </c>
      <c r="M23" s="80" t="s">
        <v>199</v>
      </c>
      <c r="N23" s="80" t="s">
        <v>199</v>
      </c>
      <c r="O23" s="80" t="s">
        <v>199</v>
      </c>
      <c r="P23" s="79">
        <v>49.0</v>
      </c>
      <c r="Q23" s="79">
        <v>47.0</v>
      </c>
      <c r="R23" s="79">
        <v>96.0</v>
      </c>
      <c r="S23" s="80">
        <v>2.0</v>
      </c>
      <c r="T23" s="80">
        <v>1.0</v>
      </c>
      <c r="U23" s="80">
        <v>3.0</v>
      </c>
      <c r="V23" s="79">
        <v>5.0</v>
      </c>
      <c r="W23" s="80">
        <v>1.0</v>
      </c>
      <c r="X23" s="79">
        <v>6.0</v>
      </c>
      <c r="Y23" s="81"/>
    </row>
  </sheetData>
  <mergeCells count="57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22:C22"/>
    <mergeCell ref="A23:C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