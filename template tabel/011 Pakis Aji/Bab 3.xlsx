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1I0pFwlxlib7hGQY7Ev12AKOh4a4hY7gL3UwfHQowjc="/>
    </ext>
  </extLst>
</workbook>
</file>

<file path=xl/sharedStrings.xml><?xml version="1.0" encoding="utf-8"?>
<sst xmlns="http://schemas.openxmlformats.org/spreadsheetml/2006/main" count="636" uniqueCount="227">
  <si>
    <t>Tabel 3.1</t>
  </si>
  <si>
    <t>Penduduk, Distribusi Persentase Penduduk, Kepadatan
Penduduk, Rasio Jenis Kelamin Penduduk Menurut Desa/
Kelurahan di Kecamatan Pakis Aji, 2025
Population, Percentage Distribution of Population,
Population Density, and Population Sex Ratio by Village/
Subdistrict in Pakis Aji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</si>
  <si>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</si>
  <si>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</si>
  <si>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</si>
  <si>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</si>
  <si>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</si>
  <si>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</si>
  <si>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</si>
  <si>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</si>
  <si>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</si>
  <si>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</si>
  <si>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Lebak</t>
  </si>
  <si>
    <t>002</t>
  </si>
  <si>
    <t>Bulungan</t>
  </si>
  <si>
    <t>003</t>
  </si>
  <si>
    <t>Suwawal Timur</t>
  </si>
  <si>
    <t>004</t>
  </si>
  <si>
    <t>Kawak</t>
  </si>
  <si>
    <t>005</t>
  </si>
  <si>
    <t>Tanjung</t>
  </si>
  <si>
    <t>006</t>
  </si>
  <si>
    <t>Plajan</t>
  </si>
  <si>
    <t>007</t>
  </si>
  <si>
    <t>Slagi</t>
  </si>
  <si>
    <t>008</t>
  </si>
  <si>
    <t>Mambak</t>
  </si>
  <si>
    <t>Pakis Aji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</si>
  <si>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</si>
  <si>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</si>
  <si>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</si>
  <si>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</si>
  <si>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</si>
  <si>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</si>
  <si>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</si>
  <si>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</si>
  <si>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Pakis Aji, 2025
Population by Age Groups and Sex in Pakis Aji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</si>
  <si>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</si>
  <si>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</si>
  <si>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</si>
  <si>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</si>
  <si>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</si>
  <si>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</si>
  <si>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</si>
  <si>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</si>
  <si>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</si>
  <si>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</si>
  <si>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</si>
  <si>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</si>
  <si>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</si>
  <si>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</si>
  <si>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</si>
  <si>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</si>
  <si>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</si>
  <si>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</si>
  <si>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</si>
  <si>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</si>
  <si>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</si>
  <si>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3.3</t>
  </si>
  <si>
    <t>Jumlah Penduduk menurut Kelompok Umur, Jenis
Kelamin dan Desa/Kelurahan di Kecamatan Pakis Aji, 2025
Population by Age Groups, Sex, and Village/Subdistrict in
Pakis Aji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</si>
  <si>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</si>
  <si>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</si>
  <si>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</si>
  <si>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</si>
  <si>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</si>
  <si>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</si>
  <si>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</si>
  <si>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</si>
  <si>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</si>
  <si>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</si>
  <si>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</si>
  <si>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</si>
  <si>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</si>
  <si>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</si>
  <si>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</si>
  <si>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</si>
  <si>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</si>
  <si>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</si>
  <si>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</si>
  <si>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</si>
  <si>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</si>
  <si>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</si>
  <si>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</si>
  <si>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</si>
  <si>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</si>
  <si>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</si>
  <si>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</si>
  <si>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</si>
  <si>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</si>
  <si>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</si>
  <si>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</si>
  <si>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</si>
  <si>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</si>
  <si>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</si>
  <si>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</si>
  <si>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</si>
  <si>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</si>
  <si>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</si>
  <si>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</si>
  <si>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</si>
  <si>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</si>
  <si>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</si>
  <si>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</si>
  <si>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</si>
  <si>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</si>
  <si>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</si>
  <si>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</si>
  <si>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</si>
  <si>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</si>
  <si>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</si>
  <si>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</si>
  <si>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</si>
  <si>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</si>
  <si>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</si>
  <si>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</si>
  <si>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</si>
  <si>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</si>
  <si>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</si>
  <si>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</si>
  <si>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</si>
  <si>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</si>
  <si>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</si>
  <si>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</si>
  <si>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</si>
  <si>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</si>
  <si>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</si>
  <si>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</si>
  <si>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</si>
  <si>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</si>
  <si>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</si>
  <si>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</si>
  <si>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</si>
  <si>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</si>
  <si>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</si>
  <si>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</si>
  <si>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</si>
  <si>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</si>
  <si>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</si>
  <si>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</si>
  <si>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</si>
  <si>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</si>
  <si>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</si>
  <si>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</si>
  <si>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Pakis Aji Menurut
Kepemilikan Akta Kelahiran Berdasarkan Jenis Kelamin,
2025
Population of Pakis Aji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</si>
  <si>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</si>
  <si>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</si>
  <si>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</si>
  <si>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</si>
  <si>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</si>
  <si>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</si>
  <si>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</si>
  <si>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</si>
  <si>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</si>
  <si>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</si>
  <si>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</si>
  <si>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</si>
  <si>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</si>
  <si>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Pakis Aji Menurut
Kepemilikan Akta Kematian Berdasarkan Jenis Kelamin,
2025
Population of Pakis Aji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</si>
  <si>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</si>
  <si>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</si>
  <si>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</si>
  <si>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</si>
  <si>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Jumlah/ 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</si>
  <si>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</si>
  <si>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Pakisaji,
2025
</t>
    </r>
    <r>
      <rPr>
        <rFont val="Calibri"/>
        <i/>
        <color theme="1"/>
        <sz val="11.0"/>
      </rPr>
      <t>Number of Residents Required to Hold an ID Card and Electronic ID Card Ownership in Pakisaji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</si>
  <si>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</si>
  <si>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</si>
  <si>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</si>
  <si>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</si>
  <si>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</si>
  <si>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</si>
  <si>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Pakis Aji
Child Identity Card (KIA) Ownership in Pakis Aji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</si>
  <si>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</si>
  <si>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</si>
  <si>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</si>
  <si>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</si>
  <si>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</si>
  <si>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</si>
  <si>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</si>
  <si>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</si>
  <si>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</si>
  <si>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</si>
  <si>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53,09</t>
  </si>
  <si>
    <t>50,19</t>
  </si>
  <si>
    <t>72,02</t>
  </si>
  <si>
    <t>55,47</t>
  </si>
  <si>
    <t>57,16</t>
  </si>
  <si>
    <t>52,91</t>
  </si>
  <si>
    <t>41,61</t>
  </si>
  <si>
    <t>47,43</t>
  </si>
  <si>
    <t>Jumlah</t>
  </si>
  <si>
    <t>53,77</t>
  </si>
  <si>
    <t>Tabel 3.8</t>
  </si>
  <si>
    <r>
      <rPr>
        <rFont val="Calibri"/>
        <color theme="1"/>
        <sz val="11.0"/>
      </rPr>
      <t>Jumlah Penduduk Kecamatan Pakis Aji Berdasarkan Agama 2025                                                               P</t>
    </r>
    <r>
      <rPr>
        <rFont val="Calibri"/>
        <i/>
        <color theme="1"/>
        <sz val="11.0"/>
      </rPr>
      <t>opulation of Pakis Aji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</si>
  <si>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</si>
  <si>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</si>
  <si>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</si>
  <si>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</si>
  <si>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</si>
  <si>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</si>
  <si>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</si>
  <si>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</si>
  <si>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</si>
  <si>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</si>
  <si>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</si>
  <si>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</si>
  <si>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</si>
  <si>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</si>
  <si>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</si>
  <si>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</si>
  <si>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</si>
  <si>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</si>
  <si>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</si>
  <si>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</si>
  <si>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</si>
  <si>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</si>
  <si>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</si>
  <si>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</si>
  <si>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</si>
  <si>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</si>
  <si>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</si>
  <si>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</si>
  <si>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</si>
  <si>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</si>
  <si>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</si>
  <si>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</si>
  <si>
    <t>Pakis AJi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</si>
</sst>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sz val="11.0"/>
      <color theme="1"/>
      <name val="Cambria"/>
    </font>
    <font>
      <color rgb="FF000000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3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4" fillId="0" fontId="2" numFmtId="3" xfId="0" applyAlignment="1" applyBorder="1" applyFont="1" applyNumberForma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4" fillId="0" fontId="2" numFmtId="3" xfId="0" applyAlignment="1" applyBorder="1" applyFont="1" applyNumberFormat="1">
      <alignment horizontal="center" readingOrder="0" vertical="center"/>
    </xf>
    <xf borderId="11" fillId="0" fontId="1" numFmtId="3" xfId="0" applyAlignment="1" applyBorder="1" applyFont="1" applyNumberFormat="1">
      <alignment readingOrder="0"/>
    </xf>
    <xf quotePrefix="1" borderId="4" fillId="0" fontId="2" numFmtId="16" xfId="0" applyAlignment="1" applyBorder="1" applyFont="1" applyNumberFormat="1">
      <alignment horizontal="center" vertical="center"/>
    </xf>
    <xf borderId="8" fillId="0" fontId="1" numFmtId="3" xfId="0" applyAlignment="1" applyBorder="1" applyFont="1" applyNumberFormat="1">
      <alignment horizontal="center" readingOrder="0"/>
    </xf>
    <xf borderId="11" fillId="0" fontId="1" numFmtId="0" xfId="0" applyBorder="1" applyFont="1"/>
    <xf borderId="4" fillId="0" fontId="2" numFmtId="3" xfId="0" applyAlignment="1" applyBorder="1" applyFont="1" applyNumberFormat="1">
      <alignment horizontal="center" readingOrder="0" shrinkToFit="0" vertical="center" wrapText="1"/>
    </xf>
    <xf borderId="11" fillId="0" fontId="2" numFmtId="3" xfId="0" applyAlignment="1" applyBorder="1" applyFont="1" applyNumberForma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4" fillId="0" fontId="4" numFmtId="0" xfId="0" applyBorder="1" applyFont="1"/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5" fillId="0" fontId="4" numFmtId="0" xfId="0" applyBorder="1" applyFont="1"/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7" numFmtId="0" xfId="0" applyAlignment="1" applyBorder="1" applyFill="1" applyFont="1">
      <alignment horizontal="center" readingOrder="0" vertical="bottom"/>
    </xf>
    <xf borderId="10" fillId="2" fontId="7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quotePrefix="1" borderId="10" fillId="0" fontId="3" numFmtId="0" xfId="0" applyAlignment="1" applyBorder="1" applyFont="1">
      <alignment vertical="center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20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7184.0</v>
      </c>
      <c r="E10" s="9"/>
      <c r="F10" s="18">
        <v>6949.0</v>
      </c>
      <c r="G10" s="9"/>
      <c r="H10" s="18">
        <v>14133.0</v>
      </c>
      <c r="I10" s="9"/>
    </row>
    <row r="11" ht="15.0" customHeight="1">
      <c r="A11" s="16" t="s">
        <v>13</v>
      </c>
      <c r="B11" s="17" t="s">
        <v>14</v>
      </c>
      <c r="C11" s="9"/>
      <c r="D11" s="18">
        <v>7147.0</v>
      </c>
      <c r="E11" s="9"/>
      <c r="F11" s="18">
        <v>6861.0</v>
      </c>
      <c r="G11" s="9"/>
      <c r="H11" s="18">
        <v>14008.0</v>
      </c>
      <c r="I11" s="9"/>
    </row>
    <row r="12" ht="15.0" customHeight="1">
      <c r="A12" s="16" t="s">
        <v>15</v>
      </c>
      <c r="B12" s="17" t="s">
        <v>16</v>
      </c>
      <c r="C12" s="9"/>
      <c r="D12" s="18">
        <v>3481.0</v>
      </c>
      <c r="E12" s="9"/>
      <c r="F12" s="18">
        <v>3470.0</v>
      </c>
      <c r="G12" s="9"/>
      <c r="H12" s="18">
        <v>6951.0</v>
      </c>
      <c r="I12" s="9"/>
    </row>
    <row r="13" ht="15.0" customHeight="1">
      <c r="A13" s="16" t="s">
        <v>17</v>
      </c>
      <c r="B13" s="17" t="s">
        <v>18</v>
      </c>
      <c r="C13" s="9"/>
      <c r="D13" s="18">
        <v>2701.0</v>
      </c>
      <c r="E13" s="9"/>
      <c r="F13" s="18">
        <v>2607.0</v>
      </c>
      <c r="G13" s="9"/>
      <c r="H13" s="18">
        <v>5308.0</v>
      </c>
      <c r="I13" s="9"/>
    </row>
    <row r="14" ht="15.0" customHeight="1">
      <c r="A14" s="16" t="s">
        <v>19</v>
      </c>
      <c r="B14" s="17" t="s">
        <v>20</v>
      </c>
      <c r="C14" s="9"/>
      <c r="D14" s="18">
        <v>3673.0</v>
      </c>
      <c r="E14" s="9"/>
      <c r="F14" s="18">
        <v>3618.0</v>
      </c>
      <c r="G14" s="9"/>
      <c r="H14" s="18">
        <v>7291.0</v>
      </c>
      <c r="I14" s="9"/>
    </row>
    <row r="15">
      <c r="A15" s="16" t="s">
        <v>21</v>
      </c>
      <c r="B15" s="17" t="s">
        <v>22</v>
      </c>
      <c r="C15" s="9"/>
      <c r="D15" s="18">
        <v>4288.0</v>
      </c>
      <c r="E15" s="9"/>
      <c r="F15" s="18">
        <v>4395.0</v>
      </c>
      <c r="G15" s="9"/>
      <c r="H15" s="18">
        <v>8683.0</v>
      </c>
      <c r="I15" s="9"/>
    </row>
    <row r="16" ht="15.0" customHeight="1">
      <c r="A16" s="16" t="s">
        <v>23</v>
      </c>
      <c r="B16" s="17" t="s">
        <v>24</v>
      </c>
      <c r="C16" s="9"/>
      <c r="D16" s="18">
        <v>2067.0</v>
      </c>
      <c r="E16" s="9"/>
      <c r="F16" s="18">
        <v>1939.0</v>
      </c>
      <c r="G16" s="9"/>
      <c r="H16" s="18">
        <v>4006.0</v>
      </c>
      <c r="I16" s="9"/>
    </row>
    <row r="17" ht="15.0" customHeight="1">
      <c r="A17" s="16" t="s">
        <v>25</v>
      </c>
      <c r="B17" s="17" t="s">
        <v>26</v>
      </c>
      <c r="C17" s="9"/>
      <c r="D17" s="18">
        <v>2724.0</v>
      </c>
      <c r="E17" s="9"/>
      <c r="F17" s="18">
        <v>2609.0</v>
      </c>
      <c r="G17" s="9"/>
      <c r="H17" s="18">
        <v>5333.0</v>
      </c>
      <c r="I17" s="9"/>
    </row>
    <row r="18">
      <c r="A18" s="7" t="s">
        <v>27</v>
      </c>
      <c r="B18" s="8"/>
      <c r="C18" s="9"/>
      <c r="D18" s="18">
        <v>33265.0</v>
      </c>
      <c r="E18" s="9"/>
      <c r="F18" s="18">
        <v>32448.0</v>
      </c>
      <c r="G18" s="9"/>
      <c r="H18" s="18">
        <v>65713.0</v>
      </c>
      <c r="I18" s="9"/>
    </row>
    <row r="20" ht="15.0" customHeight="1">
      <c r="A20" s="4" t="s">
        <v>28</v>
      </c>
      <c r="B20" s="5"/>
      <c r="C20" s="6"/>
      <c r="D20" s="4" t="s">
        <v>29</v>
      </c>
      <c r="E20" s="5"/>
      <c r="F20" s="6"/>
      <c r="G20" s="4" t="s">
        <v>30</v>
      </c>
      <c r="H20" s="5"/>
      <c r="I20" s="6"/>
      <c r="J20" s="4" t="s">
        <v>31</v>
      </c>
      <c r="K20" s="5"/>
      <c r="L20" s="6"/>
    </row>
    <row r="21" ht="15.0" customHeight="1">
      <c r="A21" s="19"/>
      <c r="C21" s="20"/>
      <c r="D21" s="19"/>
      <c r="F21" s="20"/>
      <c r="G21" s="19"/>
      <c r="I21" s="20"/>
      <c r="J21" s="19"/>
      <c r="L21" s="20"/>
    </row>
    <row r="22" ht="29.25" customHeight="1">
      <c r="A22" s="10"/>
      <c r="B22" s="11"/>
      <c r="C22" s="12"/>
      <c r="D22" s="10"/>
      <c r="E22" s="11"/>
      <c r="F22" s="12"/>
      <c r="G22" s="10"/>
      <c r="H22" s="11"/>
      <c r="I22" s="12"/>
      <c r="J22" s="10"/>
      <c r="K22" s="11"/>
      <c r="L22" s="12"/>
    </row>
    <row r="23" ht="15.75" customHeight="1">
      <c r="A23" s="14" t="s">
        <v>7</v>
      </c>
      <c r="B23" s="8"/>
      <c r="C23" s="9"/>
      <c r="D23" s="14" t="s">
        <v>32</v>
      </c>
      <c r="E23" s="8"/>
      <c r="F23" s="9"/>
      <c r="G23" s="14" t="s">
        <v>33</v>
      </c>
      <c r="H23" s="8"/>
      <c r="I23" s="9"/>
      <c r="J23" s="14" t="s">
        <v>34</v>
      </c>
      <c r="K23" s="8"/>
      <c r="L23" s="9"/>
    </row>
    <row r="24" ht="15.0" customHeight="1">
      <c r="A24" s="16" t="s">
        <v>11</v>
      </c>
      <c r="B24" s="17" t="s">
        <v>12</v>
      </c>
      <c r="C24" s="9"/>
      <c r="D24" s="21">
        <f t="shared" ref="D24:D32" si="1">H10/$H$18*100</f>
        <v>21.50715992</v>
      </c>
      <c r="E24" s="8"/>
      <c r="F24" s="9"/>
      <c r="G24" s="22"/>
      <c r="H24" s="8"/>
      <c r="I24" s="9"/>
      <c r="J24" s="21">
        <f>D10/F10*100</f>
        <v>103.3817816</v>
      </c>
      <c r="K24" s="8"/>
      <c r="L24" s="9"/>
    </row>
    <row r="25" ht="15.0" customHeight="1">
      <c r="A25" s="16" t="s">
        <v>13</v>
      </c>
      <c r="B25" s="17" t="s">
        <v>14</v>
      </c>
      <c r="C25" s="9"/>
      <c r="D25" s="21">
        <f t="shared" si="1"/>
        <v>21.31693881</v>
      </c>
      <c r="E25" s="8"/>
      <c r="F25" s="9"/>
      <c r="G25" s="22"/>
      <c r="H25" s="8"/>
      <c r="I25" s="9"/>
      <c r="J25" s="21"/>
      <c r="K25" s="8"/>
      <c r="L25" s="9"/>
    </row>
    <row r="26" ht="15.0" customHeight="1">
      <c r="A26" s="16" t="s">
        <v>15</v>
      </c>
      <c r="B26" s="17" t="s">
        <v>16</v>
      </c>
      <c r="C26" s="9"/>
      <c r="D26" s="21">
        <f t="shared" si="1"/>
        <v>10.57781565</v>
      </c>
      <c r="E26" s="8"/>
      <c r="F26" s="9"/>
      <c r="G26" s="22"/>
      <c r="H26" s="8"/>
      <c r="I26" s="9"/>
      <c r="J26" s="21"/>
      <c r="K26" s="8"/>
      <c r="L26" s="9"/>
    </row>
    <row r="27" ht="15.0" customHeight="1">
      <c r="A27" s="16" t="s">
        <v>17</v>
      </c>
      <c r="B27" s="17" t="s">
        <v>18</v>
      </c>
      <c r="C27" s="9"/>
      <c r="D27" s="21">
        <f t="shared" si="1"/>
        <v>8.077549343</v>
      </c>
      <c r="E27" s="8"/>
      <c r="F27" s="9"/>
      <c r="G27" s="22"/>
      <c r="H27" s="8"/>
      <c r="I27" s="9"/>
      <c r="J27" s="21"/>
      <c r="K27" s="8"/>
      <c r="L27" s="9"/>
    </row>
    <row r="28" ht="15.0" customHeight="1">
      <c r="A28" s="16" t="s">
        <v>19</v>
      </c>
      <c r="B28" s="17" t="s">
        <v>20</v>
      </c>
      <c r="C28" s="9"/>
      <c r="D28" s="21">
        <f t="shared" si="1"/>
        <v>11.09521708</v>
      </c>
      <c r="E28" s="8"/>
      <c r="F28" s="9"/>
      <c r="G28" s="22"/>
      <c r="H28" s="8"/>
      <c r="I28" s="9"/>
      <c r="J28" s="21"/>
      <c r="K28" s="8"/>
      <c r="L28" s="9"/>
    </row>
    <row r="29" ht="15.75" customHeight="1">
      <c r="A29" s="16" t="s">
        <v>21</v>
      </c>
      <c r="B29" s="17" t="s">
        <v>22</v>
      </c>
      <c r="C29" s="9"/>
      <c r="D29" s="21">
        <f t="shared" si="1"/>
        <v>13.21351939</v>
      </c>
      <c r="E29" s="8"/>
      <c r="F29" s="9"/>
      <c r="G29" s="22"/>
      <c r="H29" s="8"/>
      <c r="I29" s="9"/>
      <c r="J29" s="21"/>
      <c r="K29" s="8"/>
      <c r="L29" s="9"/>
    </row>
    <row r="30" ht="15.0" customHeight="1">
      <c r="A30" s="16" t="s">
        <v>23</v>
      </c>
      <c r="B30" s="17" t="s">
        <v>24</v>
      </c>
      <c r="C30" s="9"/>
      <c r="D30" s="21">
        <f t="shared" si="1"/>
        <v>6.09620623</v>
      </c>
      <c r="E30" s="8"/>
      <c r="F30" s="9"/>
      <c r="G30" s="22"/>
      <c r="H30" s="8"/>
      <c r="I30" s="9"/>
      <c r="J30" s="21"/>
      <c r="K30" s="8"/>
      <c r="L30" s="9"/>
    </row>
    <row r="31" ht="15.0" customHeight="1">
      <c r="A31" s="16" t="s">
        <v>25</v>
      </c>
      <c r="B31" s="17" t="s">
        <v>26</v>
      </c>
      <c r="C31" s="9"/>
      <c r="D31" s="21">
        <f t="shared" si="1"/>
        <v>8.115593566</v>
      </c>
      <c r="E31" s="8"/>
      <c r="F31" s="9"/>
      <c r="G31" s="22"/>
      <c r="H31" s="8"/>
      <c r="I31" s="9"/>
      <c r="J31" s="21"/>
      <c r="K31" s="8"/>
      <c r="L31" s="9"/>
    </row>
    <row r="32" ht="15.75" customHeight="1">
      <c r="A32" s="7" t="s">
        <v>27</v>
      </c>
      <c r="B32" s="8"/>
      <c r="C32" s="9"/>
      <c r="D32" s="21">
        <f t="shared" si="1"/>
        <v>100</v>
      </c>
      <c r="E32" s="8"/>
      <c r="F32" s="9"/>
      <c r="G32" s="22"/>
      <c r="H32" s="8"/>
      <c r="I32" s="9"/>
      <c r="J32" s="21"/>
      <c r="K32" s="8"/>
      <c r="L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A20:C22"/>
    <mergeCell ref="A23:C23"/>
    <mergeCell ref="A18:C18"/>
    <mergeCell ref="D18:E18"/>
    <mergeCell ref="F18:G18"/>
    <mergeCell ref="H18:I18"/>
    <mergeCell ref="D20:F22"/>
    <mergeCell ref="G20:I22"/>
    <mergeCell ref="J20:L22"/>
    <mergeCell ref="J30:L30"/>
    <mergeCell ref="J31:L31"/>
    <mergeCell ref="J32:L32"/>
    <mergeCell ref="J23:L23"/>
    <mergeCell ref="J24:L24"/>
    <mergeCell ref="J25:L25"/>
    <mergeCell ref="J26:L26"/>
    <mergeCell ref="J27:L27"/>
    <mergeCell ref="J28:L28"/>
    <mergeCell ref="J29:L29"/>
    <mergeCell ref="D23:F23"/>
    <mergeCell ref="G23:I23"/>
    <mergeCell ref="B24:C24"/>
    <mergeCell ref="D24:F24"/>
    <mergeCell ref="G24:I24"/>
    <mergeCell ref="D25:F25"/>
    <mergeCell ref="G25:I25"/>
    <mergeCell ref="B25:C25"/>
    <mergeCell ref="B26:C26"/>
    <mergeCell ref="D26:F26"/>
    <mergeCell ref="G26:I26"/>
    <mergeCell ref="B27:C27"/>
    <mergeCell ref="D27:F27"/>
    <mergeCell ref="G27:I27"/>
    <mergeCell ref="D30:F30"/>
    <mergeCell ref="G30:I30"/>
    <mergeCell ref="B28:C28"/>
    <mergeCell ref="D28:F28"/>
    <mergeCell ref="G28:I28"/>
    <mergeCell ref="B29:C29"/>
    <mergeCell ref="D29:F29"/>
    <mergeCell ref="G29:I29"/>
    <mergeCell ref="B30:C30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B31:C31"/>
    <mergeCell ref="D31:F31"/>
    <mergeCell ref="G31:I31"/>
    <mergeCell ref="A32:C32"/>
    <mergeCell ref="D32:F32"/>
    <mergeCell ref="G32:I3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35</v>
      </c>
      <c r="B1" s="2" t="s">
        <v>36</v>
      </c>
    </row>
    <row r="5">
      <c r="A5" s="23" t="s">
        <v>37</v>
      </c>
      <c r="B5" s="6"/>
      <c r="C5" s="7" t="s">
        <v>38</v>
      </c>
      <c r="D5" s="8"/>
      <c r="E5" s="8"/>
      <c r="F5" s="8"/>
      <c r="G5" s="8"/>
      <c r="H5" s="9"/>
    </row>
    <row r="6">
      <c r="A6" s="19"/>
      <c r="B6" s="20"/>
      <c r="C6" s="23" t="s">
        <v>39</v>
      </c>
      <c r="D6" s="6"/>
      <c r="E6" s="23" t="s">
        <v>40</v>
      </c>
      <c r="F6" s="6"/>
      <c r="G6" s="23" t="s">
        <v>41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4" t="s">
        <v>7</v>
      </c>
      <c r="B8" s="9"/>
      <c r="C8" s="24" t="s">
        <v>8</v>
      </c>
      <c r="D8" s="9"/>
      <c r="E8" s="24" t="s">
        <v>9</v>
      </c>
      <c r="F8" s="9"/>
      <c r="G8" s="24" t="s">
        <v>10</v>
      </c>
      <c r="H8" s="9"/>
    </row>
    <row r="9">
      <c r="A9" s="24" t="s">
        <v>42</v>
      </c>
      <c r="B9" s="9"/>
      <c r="C9" s="25">
        <v>2231.0</v>
      </c>
      <c r="D9" s="9"/>
      <c r="E9" s="25">
        <v>2116.0</v>
      </c>
      <c r="F9" s="9"/>
      <c r="G9" s="25">
        <f t="shared" ref="G9:G24" si="1">sum(C9:F9)</f>
        <v>4347</v>
      </c>
      <c r="H9" s="9"/>
      <c r="I9" s="26"/>
    </row>
    <row r="10">
      <c r="A10" s="27" t="s">
        <v>43</v>
      </c>
      <c r="B10" s="9"/>
      <c r="C10" s="25">
        <v>2696.0</v>
      </c>
      <c r="D10" s="9"/>
      <c r="E10" s="28">
        <v>2508.0</v>
      </c>
      <c r="F10" s="12"/>
      <c r="G10" s="25">
        <f t="shared" si="1"/>
        <v>5204</v>
      </c>
      <c r="H10" s="9"/>
      <c r="I10" s="29"/>
    </row>
    <row r="11">
      <c r="A11" s="24" t="s">
        <v>44</v>
      </c>
      <c r="B11" s="9"/>
      <c r="C11" s="30">
        <v>2749.0</v>
      </c>
      <c r="D11" s="9"/>
      <c r="E11" s="30">
        <v>2574.0</v>
      </c>
      <c r="F11" s="9"/>
      <c r="G11" s="25">
        <f t="shared" si="1"/>
        <v>5323</v>
      </c>
      <c r="H11" s="9"/>
      <c r="I11" s="31"/>
    </row>
    <row r="12">
      <c r="A12" s="24" t="s">
        <v>45</v>
      </c>
      <c r="B12" s="9"/>
      <c r="C12" s="30">
        <v>2555.0</v>
      </c>
      <c r="D12" s="9"/>
      <c r="E12" s="30">
        <v>2553.0</v>
      </c>
      <c r="F12" s="9"/>
      <c r="G12" s="25">
        <f t="shared" si="1"/>
        <v>5108</v>
      </c>
      <c r="H12" s="9"/>
      <c r="I12" s="29"/>
    </row>
    <row r="13">
      <c r="A13" s="24" t="s">
        <v>46</v>
      </c>
      <c r="B13" s="9"/>
      <c r="C13" s="30">
        <v>2655.0</v>
      </c>
      <c r="D13" s="9"/>
      <c r="E13" s="30">
        <v>2515.0</v>
      </c>
      <c r="F13" s="9"/>
      <c r="G13" s="25">
        <f t="shared" si="1"/>
        <v>5170</v>
      </c>
      <c r="H13" s="9"/>
      <c r="I13" s="31"/>
    </row>
    <row r="14">
      <c r="A14" s="22" t="s">
        <v>47</v>
      </c>
      <c r="B14" s="9"/>
      <c r="C14" s="30">
        <v>2595.0</v>
      </c>
      <c r="D14" s="9"/>
      <c r="E14" s="30">
        <v>2478.0</v>
      </c>
      <c r="F14" s="9"/>
      <c r="G14" s="25">
        <f t="shared" si="1"/>
        <v>5073</v>
      </c>
      <c r="H14" s="9"/>
      <c r="I14" s="29"/>
    </row>
    <row r="15">
      <c r="A15" s="22" t="s">
        <v>48</v>
      </c>
      <c r="B15" s="9"/>
      <c r="C15" s="30">
        <v>2479.0</v>
      </c>
      <c r="D15" s="9"/>
      <c r="E15" s="30">
        <v>2370.0</v>
      </c>
      <c r="F15" s="9"/>
      <c r="G15" s="25">
        <f t="shared" si="1"/>
        <v>4849</v>
      </c>
      <c r="H15" s="9"/>
      <c r="I15" s="31"/>
    </row>
    <row r="16">
      <c r="A16" s="22" t="s">
        <v>49</v>
      </c>
      <c r="B16" s="9"/>
      <c r="C16" s="30">
        <v>2334.0</v>
      </c>
      <c r="D16" s="9"/>
      <c r="E16" s="30">
        <v>2303.0</v>
      </c>
      <c r="F16" s="9"/>
      <c r="G16" s="25">
        <f t="shared" si="1"/>
        <v>4637</v>
      </c>
      <c r="H16" s="9"/>
      <c r="I16" s="31"/>
    </row>
    <row r="17">
      <c r="A17" s="22" t="s">
        <v>50</v>
      </c>
      <c r="B17" s="9"/>
      <c r="C17" s="30">
        <v>2583.0</v>
      </c>
      <c r="D17" s="9"/>
      <c r="E17" s="30">
        <v>2346.0</v>
      </c>
      <c r="F17" s="9"/>
      <c r="G17" s="25">
        <f t="shared" si="1"/>
        <v>4929</v>
      </c>
      <c r="H17" s="9"/>
      <c r="I17" s="29"/>
    </row>
    <row r="18">
      <c r="A18" s="22" t="s">
        <v>51</v>
      </c>
      <c r="B18" s="9"/>
      <c r="C18" s="32">
        <v>2343.0</v>
      </c>
      <c r="D18" s="9"/>
      <c r="E18" s="32">
        <v>2295.0</v>
      </c>
      <c r="F18" s="9"/>
      <c r="G18" s="25">
        <f t="shared" si="1"/>
        <v>4638</v>
      </c>
      <c r="H18" s="9"/>
      <c r="I18" s="31"/>
    </row>
    <row r="19">
      <c r="A19" s="22" t="s">
        <v>52</v>
      </c>
      <c r="B19" s="9"/>
      <c r="C19" s="30">
        <v>1953.0</v>
      </c>
      <c r="D19" s="9"/>
      <c r="E19" s="30">
        <v>2007.0</v>
      </c>
      <c r="F19" s="9"/>
      <c r="G19" s="25">
        <f t="shared" si="1"/>
        <v>3960</v>
      </c>
      <c r="H19" s="9"/>
      <c r="I19" s="29"/>
    </row>
    <row r="20">
      <c r="A20" s="22" t="s">
        <v>53</v>
      </c>
      <c r="B20" s="9"/>
      <c r="C20" s="32">
        <v>1693.0</v>
      </c>
      <c r="D20" s="9"/>
      <c r="E20" s="32">
        <v>1703.0</v>
      </c>
      <c r="F20" s="9"/>
      <c r="G20" s="25">
        <f t="shared" si="1"/>
        <v>3396</v>
      </c>
      <c r="H20" s="9"/>
      <c r="I20" s="31"/>
    </row>
    <row r="21" ht="15.75" customHeight="1">
      <c r="A21" s="22" t="s">
        <v>54</v>
      </c>
      <c r="B21" s="9"/>
      <c r="C21" s="30">
        <v>1398.0</v>
      </c>
      <c r="D21" s="9"/>
      <c r="E21" s="30">
        <v>1485.0</v>
      </c>
      <c r="F21" s="9"/>
      <c r="G21" s="25">
        <f t="shared" si="1"/>
        <v>2883</v>
      </c>
      <c r="H21" s="9"/>
      <c r="I21" s="29"/>
    </row>
    <row r="22" ht="15.75" customHeight="1">
      <c r="A22" s="22" t="s">
        <v>55</v>
      </c>
      <c r="B22" s="9"/>
      <c r="C22" s="32">
        <v>1149.0</v>
      </c>
      <c r="D22" s="9"/>
      <c r="E22" s="32">
        <v>1172.0</v>
      </c>
      <c r="F22" s="9"/>
      <c r="G22" s="25">
        <f t="shared" si="1"/>
        <v>2321</v>
      </c>
      <c r="H22" s="9"/>
      <c r="I22" s="31"/>
    </row>
    <row r="23" ht="15.75" customHeight="1">
      <c r="A23" s="22" t="s">
        <v>56</v>
      </c>
      <c r="B23" s="9"/>
      <c r="C23" s="33">
        <v>811.0</v>
      </c>
      <c r="D23" s="9"/>
      <c r="E23" s="33">
        <v>781.0</v>
      </c>
      <c r="F23" s="9"/>
      <c r="G23" s="25">
        <f t="shared" si="1"/>
        <v>1592</v>
      </c>
      <c r="H23" s="9"/>
      <c r="I23" s="29"/>
    </row>
    <row r="24" ht="15.75" customHeight="1">
      <c r="A24" s="22" t="s">
        <v>57</v>
      </c>
      <c r="B24" s="9"/>
      <c r="C24" s="32">
        <v>1041.0</v>
      </c>
      <c r="D24" s="9"/>
      <c r="E24" s="32">
        <v>1242.0</v>
      </c>
      <c r="F24" s="9"/>
      <c r="G24" s="25">
        <f t="shared" si="1"/>
        <v>2283</v>
      </c>
      <c r="H24" s="9"/>
      <c r="I24" s="29"/>
    </row>
    <row r="25" ht="15.75" customHeight="1">
      <c r="A25" s="22" t="s">
        <v>27</v>
      </c>
      <c r="B25" s="9"/>
      <c r="C25" s="34">
        <f>sum(C9:D24)</f>
        <v>33265</v>
      </c>
      <c r="D25" s="9"/>
      <c r="E25" s="34">
        <f>sum(E9:F24)</f>
        <v>32448</v>
      </c>
      <c r="F25" s="9"/>
      <c r="G25" s="34">
        <f>sum(G9:H24)</f>
        <v>65713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E14:F14"/>
    <mergeCell ref="G14:H14"/>
    <mergeCell ref="A13:B13"/>
    <mergeCell ref="C13:D13"/>
    <mergeCell ref="E13:F13"/>
    <mergeCell ref="G13:H13"/>
    <mergeCell ref="I13:J13"/>
    <mergeCell ref="A14:B14"/>
    <mergeCell ref="C14:D14"/>
    <mergeCell ref="E16:F16"/>
    <mergeCell ref="G16:H16"/>
    <mergeCell ref="A15:B15"/>
    <mergeCell ref="C15:D15"/>
    <mergeCell ref="E15:F15"/>
    <mergeCell ref="G15:H15"/>
    <mergeCell ref="I15:J15"/>
    <mergeCell ref="C16:D16"/>
    <mergeCell ref="I16:J16"/>
    <mergeCell ref="E18:F18"/>
    <mergeCell ref="G18:H18"/>
    <mergeCell ref="I18:J18"/>
    <mergeCell ref="A16:B16"/>
    <mergeCell ref="A17:B17"/>
    <mergeCell ref="C17:D17"/>
    <mergeCell ref="E17:F17"/>
    <mergeCell ref="G17:H17"/>
    <mergeCell ref="A18:B18"/>
    <mergeCell ref="C18:D18"/>
    <mergeCell ref="G20:H20"/>
    <mergeCell ref="I20:J20"/>
    <mergeCell ref="A19:B19"/>
    <mergeCell ref="C19:D19"/>
    <mergeCell ref="E19:F19"/>
    <mergeCell ref="G19:H19"/>
    <mergeCell ref="A20:B20"/>
    <mergeCell ref="C20:D20"/>
    <mergeCell ref="E20:F20"/>
    <mergeCell ref="G22:H22"/>
    <mergeCell ref="I22:J22"/>
    <mergeCell ref="A21:B21"/>
    <mergeCell ref="C21:D21"/>
    <mergeCell ref="E21:F21"/>
    <mergeCell ref="G21:H21"/>
    <mergeCell ref="A22:B22"/>
    <mergeCell ref="C22:D22"/>
    <mergeCell ref="E22:F22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E10:F10"/>
    <mergeCell ref="G10:H10"/>
    <mergeCell ref="A8:B8"/>
    <mergeCell ref="A9:B9"/>
    <mergeCell ref="C9:D9"/>
    <mergeCell ref="E9:F9"/>
    <mergeCell ref="G9:H9"/>
    <mergeCell ref="A10:B10"/>
    <mergeCell ref="C10:D10"/>
    <mergeCell ref="E12:F12"/>
    <mergeCell ref="G12:H12"/>
    <mergeCell ref="A11:B11"/>
    <mergeCell ref="C11:D11"/>
    <mergeCell ref="E11:F11"/>
    <mergeCell ref="G11:H11"/>
    <mergeCell ref="I11:J11"/>
    <mergeCell ref="A12:B12"/>
    <mergeCell ref="C12:D12"/>
    <mergeCell ref="A24:B24"/>
    <mergeCell ref="A25:B25"/>
    <mergeCell ref="C25:D25"/>
    <mergeCell ref="E25:F25"/>
    <mergeCell ref="G25:H25"/>
    <mergeCell ref="A23:B23"/>
    <mergeCell ref="C23:D23"/>
    <mergeCell ref="E23:F23"/>
    <mergeCell ref="G23:H23"/>
    <mergeCell ref="C24:D24"/>
    <mergeCell ref="E24:F24"/>
    <mergeCell ref="G24:H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58</v>
      </c>
      <c r="B1" s="35" t="s">
        <v>59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60</v>
      </c>
      <c r="B5" s="5"/>
      <c r="C5" s="6"/>
      <c r="D5" s="13" t="s">
        <v>61</v>
      </c>
      <c r="E5" s="8"/>
      <c r="F5" s="8"/>
      <c r="G5" s="8"/>
      <c r="H5" s="8"/>
      <c r="I5" s="8"/>
      <c r="J5" s="8"/>
      <c r="K5" s="9"/>
    </row>
    <row r="6" ht="15.0" customHeight="1">
      <c r="A6" s="19"/>
      <c r="C6" s="20"/>
      <c r="D6" s="13" t="s">
        <v>42</v>
      </c>
      <c r="E6" s="8"/>
      <c r="F6" s="8"/>
      <c r="G6" s="9"/>
      <c r="H6" s="15" t="s">
        <v>43</v>
      </c>
      <c r="I6" s="8"/>
      <c r="J6" s="8"/>
      <c r="K6" s="9"/>
    </row>
    <row r="7">
      <c r="A7" s="19"/>
      <c r="C7" s="20"/>
      <c r="D7" s="23" t="s">
        <v>62</v>
      </c>
      <c r="E7" s="6"/>
      <c r="F7" s="23" t="s">
        <v>63</v>
      </c>
      <c r="G7" s="6"/>
      <c r="H7" s="23" t="s">
        <v>64</v>
      </c>
      <c r="I7" s="6"/>
      <c r="J7" s="23" t="s">
        <v>65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6" t="s">
        <v>8</v>
      </c>
      <c r="E9" s="9"/>
      <c r="F9" s="36" t="s">
        <v>9</v>
      </c>
      <c r="G9" s="9"/>
      <c r="H9" s="36" t="s">
        <v>10</v>
      </c>
      <c r="I9" s="9"/>
      <c r="J9" s="36" t="s">
        <v>32</v>
      </c>
      <c r="K9" s="9"/>
    </row>
    <row r="10" ht="15.0" customHeight="1">
      <c r="A10" s="16" t="s">
        <v>11</v>
      </c>
      <c r="B10" s="17" t="s">
        <v>12</v>
      </c>
      <c r="C10" s="9"/>
      <c r="D10" s="33">
        <v>480.0</v>
      </c>
      <c r="E10" s="9"/>
      <c r="F10" s="33">
        <v>458.0</v>
      </c>
      <c r="G10" s="9"/>
      <c r="H10" s="33">
        <v>589.0</v>
      </c>
      <c r="I10" s="9"/>
      <c r="J10" s="33">
        <v>576.0</v>
      </c>
      <c r="K10" s="9"/>
    </row>
    <row r="11" ht="15.0" customHeight="1">
      <c r="A11" s="16" t="s">
        <v>13</v>
      </c>
      <c r="B11" s="17" t="s">
        <v>14</v>
      </c>
      <c r="C11" s="9"/>
      <c r="D11" s="33">
        <v>487.0</v>
      </c>
      <c r="E11" s="9"/>
      <c r="F11" s="33">
        <v>445.0</v>
      </c>
      <c r="G11" s="9"/>
      <c r="H11" s="33">
        <v>612.0</v>
      </c>
      <c r="I11" s="9"/>
      <c r="J11" s="33">
        <v>561.0</v>
      </c>
      <c r="K11" s="9"/>
    </row>
    <row r="12" ht="15.0" customHeight="1">
      <c r="A12" s="16" t="s">
        <v>15</v>
      </c>
      <c r="B12" s="17" t="s">
        <v>16</v>
      </c>
      <c r="C12" s="9"/>
      <c r="D12" s="33">
        <v>224.0</v>
      </c>
      <c r="E12" s="9"/>
      <c r="F12" s="33">
        <v>212.0</v>
      </c>
      <c r="G12" s="9"/>
      <c r="H12" s="33">
        <v>287.0</v>
      </c>
      <c r="I12" s="9"/>
      <c r="J12" s="33">
        <v>240.0</v>
      </c>
      <c r="K12" s="9"/>
    </row>
    <row r="13" ht="15.0" customHeight="1">
      <c r="A13" s="16" t="s">
        <v>17</v>
      </c>
      <c r="B13" s="17" t="s">
        <v>18</v>
      </c>
      <c r="C13" s="9"/>
      <c r="D13" s="33">
        <v>189.0</v>
      </c>
      <c r="E13" s="9"/>
      <c r="F13" s="33">
        <v>171.0</v>
      </c>
      <c r="G13" s="9"/>
      <c r="H13" s="33">
        <v>220.0</v>
      </c>
      <c r="I13" s="9"/>
      <c r="J13" s="33">
        <v>221.0</v>
      </c>
      <c r="K13" s="9"/>
    </row>
    <row r="14" ht="15.0" customHeight="1">
      <c r="A14" s="16" t="s">
        <v>19</v>
      </c>
      <c r="B14" s="17" t="s">
        <v>20</v>
      </c>
      <c r="C14" s="9"/>
      <c r="D14" s="33">
        <v>234.0</v>
      </c>
      <c r="E14" s="9"/>
      <c r="F14" s="33">
        <v>222.0</v>
      </c>
      <c r="G14" s="9"/>
      <c r="H14" s="33">
        <v>301.0</v>
      </c>
      <c r="I14" s="9"/>
      <c r="J14" s="33">
        <v>269.0</v>
      </c>
      <c r="K14" s="9"/>
    </row>
    <row r="15">
      <c r="A15" s="16" t="s">
        <v>21</v>
      </c>
      <c r="B15" s="17" t="s">
        <v>22</v>
      </c>
      <c r="C15" s="9"/>
      <c r="D15" s="33">
        <v>287.0</v>
      </c>
      <c r="E15" s="9"/>
      <c r="F15" s="33">
        <v>296.0</v>
      </c>
      <c r="G15" s="9"/>
      <c r="H15" s="33">
        <v>319.0</v>
      </c>
      <c r="I15" s="9"/>
      <c r="J15" s="33">
        <v>310.0</v>
      </c>
      <c r="K15" s="9"/>
    </row>
    <row r="16" ht="15.0" customHeight="1">
      <c r="A16" s="16" t="s">
        <v>23</v>
      </c>
      <c r="B16" s="17" t="s">
        <v>24</v>
      </c>
      <c r="C16" s="9"/>
      <c r="D16" s="33">
        <v>145.0</v>
      </c>
      <c r="E16" s="9"/>
      <c r="F16" s="33">
        <v>123.0</v>
      </c>
      <c r="G16" s="9"/>
      <c r="H16" s="33">
        <v>167.0</v>
      </c>
      <c r="I16" s="9"/>
      <c r="J16" s="33">
        <v>143.0</v>
      </c>
      <c r="K16" s="9"/>
    </row>
    <row r="17" ht="15.0" customHeight="1">
      <c r="A17" s="16" t="s">
        <v>25</v>
      </c>
      <c r="B17" s="17" t="s">
        <v>26</v>
      </c>
      <c r="C17" s="9"/>
      <c r="D17" s="33">
        <v>185.0</v>
      </c>
      <c r="E17" s="9"/>
      <c r="F17" s="33">
        <v>189.0</v>
      </c>
      <c r="G17" s="9"/>
      <c r="H17" s="33">
        <v>201.0</v>
      </c>
      <c r="I17" s="9"/>
      <c r="J17" s="33">
        <v>188.0</v>
      </c>
      <c r="K17" s="9"/>
    </row>
    <row r="18">
      <c r="A18" s="22" t="s">
        <v>66</v>
      </c>
      <c r="B18" s="8"/>
      <c r="C18" s="9"/>
      <c r="D18" s="30">
        <v>2231.0</v>
      </c>
      <c r="E18" s="9"/>
      <c r="F18" s="30">
        <v>2116.0</v>
      </c>
      <c r="G18" s="9"/>
      <c r="H18" s="30">
        <v>2696.0</v>
      </c>
      <c r="I18" s="9"/>
      <c r="J18" s="30">
        <v>2508.0</v>
      </c>
      <c r="K18" s="9"/>
    </row>
    <row r="20">
      <c r="A20" s="4" t="s">
        <v>67</v>
      </c>
      <c r="B20" s="5"/>
      <c r="C20" s="6"/>
      <c r="D20" s="13" t="s">
        <v>68</v>
      </c>
      <c r="E20" s="8"/>
      <c r="F20" s="8"/>
      <c r="G20" s="8"/>
      <c r="H20" s="8"/>
      <c r="I20" s="8"/>
      <c r="J20" s="8"/>
      <c r="K20" s="9"/>
    </row>
    <row r="21" ht="15.75" customHeight="1">
      <c r="A21" s="19"/>
      <c r="C21" s="20"/>
      <c r="D21" s="15" t="s">
        <v>44</v>
      </c>
      <c r="E21" s="8"/>
      <c r="F21" s="8"/>
      <c r="G21" s="9"/>
      <c r="H21" s="15" t="s">
        <v>45</v>
      </c>
      <c r="I21" s="8"/>
      <c r="J21" s="8"/>
      <c r="K21" s="9"/>
    </row>
    <row r="22" ht="15.75" customHeight="1">
      <c r="A22" s="19"/>
      <c r="C22" s="20"/>
      <c r="D22" s="23" t="s">
        <v>69</v>
      </c>
      <c r="E22" s="6"/>
      <c r="F22" s="23" t="s">
        <v>70</v>
      </c>
      <c r="G22" s="6"/>
      <c r="H22" s="23" t="s">
        <v>71</v>
      </c>
      <c r="I22" s="6"/>
      <c r="J22" s="23" t="s">
        <v>72</v>
      </c>
      <c r="K22" s="6"/>
    </row>
    <row r="23" ht="15.75" customHeight="1">
      <c r="A23" s="10"/>
      <c r="B23" s="11"/>
      <c r="C23" s="12"/>
      <c r="D23" s="10"/>
      <c r="E23" s="12"/>
      <c r="F23" s="10"/>
      <c r="G23" s="12"/>
      <c r="H23" s="10"/>
      <c r="I23" s="12"/>
      <c r="J23" s="10"/>
      <c r="K23" s="12"/>
    </row>
    <row r="24" ht="15.75" customHeight="1">
      <c r="A24" s="14" t="s">
        <v>7</v>
      </c>
      <c r="B24" s="8"/>
      <c r="C24" s="9"/>
      <c r="D24" s="36" t="s">
        <v>33</v>
      </c>
      <c r="E24" s="9"/>
      <c r="F24" s="36" t="s">
        <v>34</v>
      </c>
      <c r="G24" s="9"/>
      <c r="H24" s="36" t="s">
        <v>73</v>
      </c>
      <c r="I24" s="9"/>
      <c r="J24" s="36" t="s">
        <v>74</v>
      </c>
      <c r="K24" s="9"/>
    </row>
    <row r="25" ht="15.0" customHeight="1">
      <c r="A25" s="16" t="s">
        <v>11</v>
      </c>
      <c r="B25" s="17" t="s">
        <v>12</v>
      </c>
      <c r="C25" s="9"/>
      <c r="D25" s="33">
        <v>574.0</v>
      </c>
      <c r="E25" s="9"/>
      <c r="F25" s="33">
        <v>580.0</v>
      </c>
      <c r="G25" s="9"/>
      <c r="H25" s="33">
        <v>584.0</v>
      </c>
      <c r="I25" s="9"/>
      <c r="J25" s="33">
        <v>534.0</v>
      </c>
      <c r="K25" s="9"/>
    </row>
    <row r="26" ht="15.0" customHeight="1">
      <c r="A26" s="16" t="s">
        <v>13</v>
      </c>
      <c r="B26" s="17" t="s">
        <v>14</v>
      </c>
      <c r="C26" s="9"/>
      <c r="D26" s="33">
        <v>649.0</v>
      </c>
      <c r="E26" s="9"/>
      <c r="F26" s="33">
        <v>580.0</v>
      </c>
      <c r="G26" s="9"/>
      <c r="H26" s="33">
        <v>570.0</v>
      </c>
      <c r="I26" s="9"/>
      <c r="J26" s="33">
        <v>555.0</v>
      </c>
      <c r="K26" s="9"/>
    </row>
    <row r="27" ht="15.0" customHeight="1">
      <c r="A27" s="16" t="s">
        <v>15</v>
      </c>
      <c r="B27" s="17" t="s">
        <v>16</v>
      </c>
      <c r="C27" s="9"/>
      <c r="D27" s="33">
        <v>275.0</v>
      </c>
      <c r="E27" s="9"/>
      <c r="F27" s="33">
        <v>260.0</v>
      </c>
      <c r="G27" s="9"/>
      <c r="H27" s="33">
        <v>260.0</v>
      </c>
      <c r="I27" s="9"/>
      <c r="J27" s="33">
        <v>259.0</v>
      </c>
      <c r="K27" s="9"/>
    </row>
    <row r="28" ht="15.0" customHeight="1">
      <c r="A28" s="16" t="s">
        <v>17</v>
      </c>
      <c r="B28" s="17" t="s">
        <v>18</v>
      </c>
      <c r="C28" s="9"/>
      <c r="D28" s="33">
        <v>239.0</v>
      </c>
      <c r="E28" s="9"/>
      <c r="F28" s="33">
        <v>194.0</v>
      </c>
      <c r="G28" s="9"/>
      <c r="H28" s="33">
        <v>215.0</v>
      </c>
      <c r="I28" s="9"/>
      <c r="J28" s="33">
        <v>210.0</v>
      </c>
      <c r="K28" s="9"/>
    </row>
    <row r="29" ht="15.0" customHeight="1">
      <c r="A29" s="16" t="s">
        <v>19</v>
      </c>
      <c r="B29" s="17" t="s">
        <v>20</v>
      </c>
      <c r="C29" s="9"/>
      <c r="D29" s="33">
        <v>291.0</v>
      </c>
      <c r="E29" s="9"/>
      <c r="F29" s="33">
        <v>270.0</v>
      </c>
      <c r="G29" s="9"/>
      <c r="H29" s="33">
        <v>260.0</v>
      </c>
      <c r="I29" s="9"/>
      <c r="J29" s="33">
        <v>297.0</v>
      </c>
      <c r="K29" s="9"/>
    </row>
    <row r="30" ht="15.75" customHeight="1">
      <c r="A30" s="16" t="s">
        <v>21</v>
      </c>
      <c r="B30" s="17" t="s">
        <v>22</v>
      </c>
      <c r="C30" s="9"/>
      <c r="D30" s="33">
        <v>311.0</v>
      </c>
      <c r="E30" s="9"/>
      <c r="F30" s="33">
        <v>316.0</v>
      </c>
      <c r="G30" s="9"/>
      <c r="H30" s="33">
        <v>275.0</v>
      </c>
      <c r="I30" s="9"/>
      <c r="J30" s="33">
        <v>311.0</v>
      </c>
      <c r="K30" s="9"/>
    </row>
    <row r="31" ht="15.0" customHeight="1">
      <c r="A31" s="16" t="s">
        <v>23</v>
      </c>
      <c r="B31" s="17" t="s">
        <v>24</v>
      </c>
      <c r="C31" s="9"/>
      <c r="D31" s="33">
        <v>151.0</v>
      </c>
      <c r="E31" s="9"/>
      <c r="F31" s="33">
        <v>149.0</v>
      </c>
      <c r="G31" s="9"/>
      <c r="H31" s="33">
        <v>173.0</v>
      </c>
      <c r="I31" s="9"/>
      <c r="J31" s="33">
        <v>162.0</v>
      </c>
      <c r="K31" s="9"/>
    </row>
    <row r="32" ht="15.0" customHeight="1">
      <c r="A32" s="16" t="s">
        <v>25</v>
      </c>
      <c r="B32" s="17" t="s">
        <v>26</v>
      </c>
      <c r="C32" s="9"/>
      <c r="D32" s="33">
        <v>259.0</v>
      </c>
      <c r="E32" s="9"/>
      <c r="F32" s="33">
        <v>225.0</v>
      </c>
      <c r="G32" s="9"/>
      <c r="H32" s="33">
        <v>218.0</v>
      </c>
      <c r="I32" s="9"/>
      <c r="J32" s="33">
        <v>225.0</v>
      </c>
      <c r="K32" s="9"/>
    </row>
    <row r="33" ht="15.75" customHeight="1">
      <c r="A33" s="22" t="s">
        <v>75</v>
      </c>
      <c r="B33" s="8"/>
      <c r="C33" s="9"/>
      <c r="D33" s="30">
        <v>2749.0</v>
      </c>
      <c r="E33" s="9"/>
      <c r="F33" s="30">
        <v>2574.0</v>
      </c>
      <c r="G33" s="9"/>
      <c r="H33" s="30">
        <v>2555.0</v>
      </c>
      <c r="I33" s="9"/>
      <c r="J33" s="30">
        <v>2553.0</v>
      </c>
      <c r="K33" s="9"/>
    </row>
    <row r="34" ht="15.75" customHeight="1"/>
    <row r="35" ht="15.75" customHeight="1">
      <c r="A35" s="4" t="s">
        <v>76</v>
      </c>
      <c r="B35" s="5"/>
      <c r="C35" s="6"/>
      <c r="D35" s="13" t="s">
        <v>77</v>
      </c>
      <c r="E35" s="8"/>
      <c r="F35" s="8"/>
      <c r="G35" s="8"/>
      <c r="H35" s="8"/>
      <c r="I35" s="8"/>
      <c r="J35" s="8"/>
      <c r="K35" s="9"/>
    </row>
    <row r="36" ht="15.75" customHeight="1">
      <c r="A36" s="19"/>
      <c r="C36" s="20"/>
      <c r="D36" s="15" t="s">
        <v>46</v>
      </c>
      <c r="E36" s="8"/>
      <c r="F36" s="8"/>
      <c r="G36" s="9"/>
      <c r="H36" s="15" t="s">
        <v>47</v>
      </c>
      <c r="I36" s="8"/>
      <c r="J36" s="8"/>
      <c r="K36" s="9"/>
    </row>
    <row r="37" ht="15.75" customHeight="1">
      <c r="A37" s="19"/>
      <c r="C37" s="20"/>
      <c r="D37" s="23" t="s">
        <v>78</v>
      </c>
      <c r="E37" s="6"/>
      <c r="F37" s="23" t="s">
        <v>79</v>
      </c>
      <c r="G37" s="6"/>
      <c r="H37" s="23" t="s">
        <v>80</v>
      </c>
      <c r="I37" s="6"/>
      <c r="J37" s="23" t="s">
        <v>81</v>
      </c>
      <c r="K37" s="6"/>
    </row>
    <row r="38" ht="15.75" customHeight="1">
      <c r="A38" s="10"/>
      <c r="B38" s="11"/>
      <c r="C38" s="12"/>
      <c r="D38" s="10"/>
      <c r="E38" s="12"/>
      <c r="F38" s="10"/>
      <c r="G38" s="12"/>
      <c r="H38" s="10"/>
      <c r="I38" s="12"/>
      <c r="J38" s="10"/>
      <c r="K38" s="12"/>
    </row>
    <row r="39" ht="15.75" customHeight="1">
      <c r="A39" s="14" t="s">
        <v>7</v>
      </c>
      <c r="B39" s="8"/>
      <c r="C39" s="9"/>
      <c r="D39" s="36" t="s">
        <v>82</v>
      </c>
      <c r="E39" s="9"/>
      <c r="F39" s="36" t="s">
        <v>83</v>
      </c>
      <c r="G39" s="9"/>
      <c r="H39" s="36" t="s">
        <v>84</v>
      </c>
      <c r="I39" s="9"/>
      <c r="J39" s="36" t="s">
        <v>85</v>
      </c>
      <c r="K39" s="9"/>
    </row>
    <row r="40" ht="15.0" customHeight="1">
      <c r="A40" s="16" t="s">
        <v>11</v>
      </c>
      <c r="B40" s="17" t="s">
        <v>12</v>
      </c>
      <c r="C40" s="9"/>
      <c r="D40" s="33">
        <v>550.0</v>
      </c>
      <c r="E40" s="9"/>
      <c r="F40" s="33">
        <v>522.0</v>
      </c>
      <c r="G40" s="9"/>
      <c r="H40" s="33">
        <v>578.0</v>
      </c>
      <c r="I40" s="9"/>
      <c r="J40" s="33">
        <v>542.0</v>
      </c>
      <c r="K40" s="9"/>
    </row>
    <row r="41" ht="15.0" customHeight="1">
      <c r="A41" s="16" t="s">
        <v>13</v>
      </c>
      <c r="B41" s="17" t="s">
        <v>14</v>
      </c>
      <c r="C41" s="9"/>
      <c r="D41" s="33">
        <v>612.0</v>
      </c>
      <c r="E41" s="9"/>
      <c r="F41" s="33">
        <v>548.0</v>
      </c>
      <c r="G41" s="9"/>
      <c r="H41" s="33">
        <v>542.0</v>
      </c>
      <c r="I41" s="9"/>
      <c r="J41" s="33">
        <v>504.0</v>
      </c>
      <c r="K41" s="9"/>
    </row>
    <row r="42" ht="15.0" customHeight="1">
      <c r="A42" s="16" t="s">
        <v>15</v>
      </c>
      <c r="B42" s="17" t="s">
        <v>16</v>
      </c>
      <c r="C42" s="9"/>
      <c r="D42" s="33">
        <v>273.0</v>
      </c>
      <c r="E42" s="9"/>
      <c r="F42" s="33">
        <v>285.0</v>
      </c>
      <c r="G42" s="9"/>
      <c r="H42" s="33">
        <v>268.0</v>
      </c>
      <c r="I42" s="9"/>
      <c r="J42" s="33">
        <v>272.0</v>
      </c>
      <c r="K42" s="9"/>
    </row>
    <row r="43" ht="15.0" customHeight="1">
      <c r="A43" s="16" t="s">
        <v>17</v>
      </c>
      <c r="B43" s="17" t="s">
        <v>18</v>
      </c>
      <c r="C43" s="9"/>
      <c r="D43" s="33">
        <v>208.0</v>
      </c>
      <c r="E43" s="9"/>
      <c r="F43" s="33">
        <v>196.0</v>
      </c>
      <c r="G43" s="9"/>
      <c r="H43" s="33">
        <v>224.0</v>
      </c>
      <c r="I43" s="9"/>
      <c r="J43" s="33">
        <v>211.0</v>
      </c>
      <c r="K43" s="9"/>
    </row>
    <row r="44" ht="15.0" customHeight="1">
      <c r="A44" s="16" t="s">
        <v>19</v>
      </c>
      <c r="B44" s="17" t="s">
        <v>20</v>
      </c>
      <c r="C44" s="9"/>
      <c r="D44" s="33">
        <v>252.0</v>
      </c>
      <c r="E44" s="9"/>
      <c r="F44" s="33">
        <v>266.0</v>
      </c>
      <c r="G44" s="9"/>
      <c r="H44" s="33">
        <v>282.0</v>
      </c>
      <c r="I44" s="9"/>
      <c r="J44" s="33">
        <v>288.0</v>
      </c>
      <c r="K44" s="9"/>
    </row>
    <row r="45" ht="15.75" customHeight="1">
      <c r="A45" s="16" t="s">
        <v>21</v>
      </c>
      <c r="B45" s="17" t="s">
        <v>22</v>
      </c>
      <c r="C45" s="9"/>
      <c r="D45" s="33">
        <v>354.0</v>
      </c>
      <c r="E45" s="9"/>
      <c r="F45" s="33">
        <v>329.0</v>
      </c>
      <c r="G45" s="9"/>
      <c r="H45" s="33">
        <v>317.0</v>
      </c>
      <c r="I45" s="9"/>
      <c r="J45" s="33">
        <v>341.0</v>
      </c>
      <c r="K45" s="9"/>
    </row>
    <row r="46" ht="15.0" customHeight="1">
      <c r="A46" s="16" t="s">
        <v>23</v>
      </c>
      <c r="B46" s="17" t="s">
        <v>24</v>
      </c>
      <c r="C46" s="9"/>
      <c r="D46" s="33">
        <v>169.0</v>
      </c>
      <c r="E46" s="9"/>
      <c r="F46" s="33">
        <v>152.0</v>
      </c>
      <c r="G46" s="9"/>
      <c r="H46" s="33">
        <v>165.0</v>
      </c>
      <c r="I46" s="9"/>
      <c r="J46" s="33">
        <v>155.0</v>
      </c>
      <c r="K46" s="9"/>
    </row>
    <row r="47" ht="15.0" customHeight="1">
      <c r="A47" s="16" t="s">
        <v>25</v>
      </c>
      <c r="B47" s="17" t="s">
        <v>26</v>
      </c>
      <c r="C47" s="9"/>
      <c r="D47" s="33">
        <v>237.0</v>
      </c>
      <c r="E47" s="9"/>
      <c r="F47" s="33">
        <v>217.0</v>
      </c>
      <c r="G47" s="9"/>
      <c r="H47" s="33">
        <v>219.0</v>
      </c>
      <c r="I47" s="9"/>
      <c r="J47" s="33">
        <v>165.0</v>
      </c>
      <c r="K47" s="9"/>
    </row>
    <row r="48" ht="15.75" customHeight="1">
      <c r="A48" s="22" t="s">
        <v>86</v>
      </c>
      <c r="B48" s="8"/>
      <c r="C48" s="9"/>
      <c r="D48" s="30">
        <v>2655.0</v>
      </c>
      <c r="E48" s="9"/>
      <c r="F48" s="30">
        <v>2515.0</v>
      </c>
      <c r="G48" s="9"/>
      <c r="H48" s="30">
        <v>2595.0</v>
      </c>
      <c r="I48" s="9"/>
      <c r="J48" s="30">
        <v>2478.0</v>
      </c>
      <c r="K48" s="9"/>
    </row>
    <row r="49" ht="15.75" customHeight="1"/>
    <row r="50" ht="15.75" customHeight="1">
      <c r="A50" s="4" t="s">
        <v>87</v>
      </c>
      <c r="B50" s="5"/>
      <c r="C50" s="6"/>
      <c r="D50" s="13" t="s">
        <v>88</v>
      </c>
      <c r="E50" s="8"/>
      <c r="F50" s="8"/>
      <c r="G50" s="8"/>
      <c r="H50" s="8"/>
      <c r="I50" s="8"/>
      <c r="J50" s="8"/>
      <c r="K50" s="9"/>
    </row>
    <row r="51" ht="15.75" customHeight="1">
      <c r="A51" s="19"/>
      <c r="C51" s="20"/>
      <c r="D51" s="15" t="s">
        <v>48</v>
      </c>
      <c r="E51" s="8"/>
      <c r="F51" s="8"/>
      <c r="G51" s="9"/>
      <c r="H51" s="15" t="s">
        <v>49</v>
      </c>
      <c r="I51" s="8"/>
      <c r="J51" s="8"/>
      <c r="K51" s="9"/>
    </row>
    <row r="52" ht="15.75" customHeight="1">
      <c r="A52" s="19"/>
      <c r="C52" s="20"/>
      <c r="D52" s="23" t="s">
        <v>89</v>
      </c>
      <c r="E52" s="6"/>
      <c r="F52" s="23" t="s">
        <v>90</v>
      </c>
      <c r="G52" s="6"/>
      <c r="H52" s="23" t="s">
        <v>91</v>
      </c>
      <c r="I52" s="6"/>
      <c r="J52" s="23" t="s">
        <v>92</v>
      </c>
      <c r="K52" s="6"/>
    </row>
    <row r="53" ht="15.75" customHeight="1">
      <c r="A53" s="10"/>
      <c r="B53" s="11"/>
      <c r="C53" s="12"/>
      <c r="D53" s="10"/>
      <c r="E53" s="12"/>
      <c r="F53" s="10"/>
      <c r="G53" s="12"/>
      <c r="H53" s="10"/>
      <c r="I53" s="12"/>
      <c r="J53" s="10"/>
      <c r="K53" s="12"/>
    </row>
    <row r="54" ht="15.75" customHeight="1">
      <c r="A54" s="14" t="s">
        <v>7</v>
      </c>
      <c r="B54" s="8"/>
      <c r="C54" s="9"/>
      <c r="D54" s="36" t="s">
        <v>93</v>
      </c>
      <c r="E54" s="9"/>
      <c r="F54" s="36" t="s">
        <v>94</v>
      </c>
      <c r="G54" s="9"/>
      <c r="H54" s="36" t="s">
        <v>95</v>
      </c>
      <c r="I54" s="9"/>
      <c r="J54" s="36" t="s">
        <v>96</v>
      </c>
      <c r="K54" s="9"/>
    </row>
    <row r="55" ht="15.0" customHeight="1">
      <c r="A55" s="16" t="s">
        <v>11</v>
      </c>
      <c r="B55" s="17" t="s">
        <v>12</v>
      </c>
      <c r="C55" s="9"/>
      <c r="D55" s="33">
        <v>539.0</v>
      </c>
      <c r="E55" s="9"/>
      <c r="F55" s="33">
        <v>528.0</v>
      </c>
      <c r="G55" s="9"/>
      <c r="H55" s="33">
        <v>539.0</v>
      </c>
      <c r="I55" s="9"/>
      <c r="J55" s="33">
        <v>486.0</v>
      </c>
      <c r="K55" s="9"/>
    </row>
    <row r="56" ht="15.0" customHeight="1">
      <c r="A56" s="16" t="s">
        <v>13</v>
      </c>
      <c r="B56" s="17" t="s">
        <v>14</v>
      </c>
      <c r="C56" s="9"/>
      <c r="D56" s="33">
        <v>515.0</v>
      </c>
      <c r="E56" s="9"/>
      <c r="F56" s="33">
        <v>481.0</v>
      </c>
      <c r="G56" s="9"/>
      <c r="H56" s="33">
        <v>506.0</v>
      </c>
      <c r="I56" s="9"/>
      <c r="J56" s="33">
        <v>508.0</v>
      </c>
      <c r="K56" s="9"/>
    </row>
    <row r="57" ht="15.0" customHeight="1">
      <c r="A57" s="16" t="s">
        <v>15</v>
      </c>
      <c r="B57" s="17" t="s">
        <v>16</v>
      </c>
      <c r="C57" s="9"/>
      <c r="D57" s="33">
        <v>289.0</v>
      </c>
      <c r="E57" s="9"/>
      <c r="F57" s="33">
        <v>247.0</v>
      </c>
      <c r="G57" s="9"/>
      <c r="H57" s="33">
        <v>224.0</v>
      </c>
      <c r="I57" s="9"/>
      <c r="J57" s="33">
        <v>223.0</v>
      </c>
      <c r="K57" s="9"/>
    </row>
    <row r="58" ht="15.0" customHeight="1">
      <c r="A58" s="16" t="s">
        <v>17</v>
      </c>
      <c r="B58" s="17" t="s">
        <v>18</v>
      </c>
      <c r="C58" s="9"/>
      <c r="D58" s="33">
        <v>207.0</v>
      </c>
      <c r="E58" s="9"/>
      <c r="F58" s="33">
        <v>181.0</v>
      </c>
      <c r="G58" s="9"/>
      <c r="H58" s="33">
        <v>186.0</v>
      </c>
      <c r="I58" s="9"/>
      <c r="J58" s="33">
        <v>196.0</v>
      </c>
      <c r="K58" s="9"/>
    </row>
    <row r="59" ht="15.0" customHeight="1">
      <c r="A59" s="16" t="s">
        <v>19</v>
      </c>
      <c r="B59" s="17" t="s">
        <v>20</v>
      </c>
      <c r="C59" s="9"/>
      <c r="D59" s="33">
        <v>286.0</v>
      </c>
      <c r="E59" s="9"/>
      <c r="F59" s="33">
        <v>251.0</v>
      </c>
      <c r="G59" s="9"/>
      <c r="H59" s="33">
        <v>259.0</v>
      </c>
      <c r="I59" s="9"/>
      <c r="J59" s="33">
        <v>264.0</v>
      </c>
      <c r="K59" s="9"/>
    </row>
    <row r="60" ht="15.75" customHeight="1">
      <c r="A60" s="16" t="s">
        <v>21</v>
      </c>
      <c r="B60" s="17" t="s">
        <v>22</v>
      </c>
      <c r="C60" s="9"/>
      <c r="D60" s="33">
        <v>302.0</v>
      </c>
      <c r="E60" s="9"/>
      <c r="F60" s="33">
        <v>320.0</v>
      </c>
      <c r="G60" s="9"/>
      <c r="H60" s="33">
        <v>307.0</v>
      </c>
      <c r="I60" s="9"/>
      <c r="J60" s="33">
        <v>308.0</v>
      </c>
      <c r="K60" s="9"/>
    </row>
    <row r="61" ht="15.0" customHeight="1">
      <c r="A61" s="16" t="s">
        <v>23</v>
      </c>
      <c r="B61" s="17" t="s">
        <v>24</v>
      </c>
      <c r="C61" s="9"/>
      <c r="D61" s="33">
        <v>146.0</v>
      </c>
      <c r="E61" s="9"/>
      <c r="F61" s="33">
        <v>150.0</v>
      </c>
      <c r="G61" s="9"/>
      <c r="H61" s="33">
        <v>138.0</v>
      </c>
      <c r="I61" s="9"/>
      <c r="J61" s="33">
        <v>120.0</v>
      </c>
      <c r="K61" s="9"/>
    </row>
    <row r="62" ht="15.0" customHeight="1">
      <c r="A62" s="16" t="s">
        <v>25</v>
      </c>
      <c r="B62" s="17" t="s">
        <v>26</v>
      </c>
      <c r="C62" s="9"/>
      <c r="D62" s="33">
        <v>195.0</v>
      </c>
      <c r="E62" s="9"/>
      <c r="F62" s="33">
        <v>212.0</v>
      </c>
      <c r="G62" s="9"/>
      <c r="H62" s="33">
        <v>175.0</v>
      </c>
      <c r="I62" s="9"/>
      <c r="J62" s="33">
        <v>198.0</v>
      </c>
      <c r="K62" s="9"/>
    </row>
    <row r="63" ht="15.75" customHeight="1">
      <c r="A63" s="22" t="s">
        <v>97</v>
      </c>
      <c r="B63" s="8"/>
      <c r="C63" s="9"/>
      <c r="D63" s="30">
        <v>2479.0</v>
      </c>
      <c r="E63" s="9"/>
      <c r="F63" s="30">
        <v>2370.0</v>
      </c>
      <c r="G63" s="9"/>
      <c r="H63" s="30">
        <v>2334.0</v>
      </c>
      <c r="I63" s="9"/>
      <c r="J63" s="30">
        <v>2303.0</v>
      </c>
      <c r="K63" s="9"/>
    </row>
    <row r="64" ht="15.75" customHeight="1"/>
    <row r="65" ht="15.75" customHeight="1">
      <c r="A65" s="4" t="s">
        <v>98</v>
      </c>
      <c r="B65" s="5"/>
      <c r="C65" s="6"/>
      <c r="D65" s="13" t="s">
        <v>99</v>
      </c>
      <c r="E65" s="8"/>
      <c r="F65" s="8"/>
      <c r="G65" s="8"/>
      <c r="H65" s="8"/>
      <c r="I65" s="8"/>
      <c r="J65" s="8"/>
      <c r="K65" s="9"/>
    </row>
    <row r="66" ht="15.75" customHeight="1">
      <c r="A66" s="19"/>
      <c r="C66" s="20"/>
      <c r="D66" s="15" t="s">
        <v>50</v>
      </c>
      <c r="E66" s="8"/>
      <c r="F66" s="8"/>
      <c r="G66" s="9"/>
      <c r="H66" s="15" t="s">
        <v>51</v>
      </c>
      <c r="I66" s="8"/>
      <c r="J66" s="8"/>
      <c r="K66" s="9"/>
    </row>
    <row r="67" ht="15.75" customHeight="1">
      <c r="A67" s="19"/>
      <c r="C67" s="20"/>
      <c r="D67" s="23" t="s">
        <v>100</v>
      </c>
      <c r="E67" s="6"/>
      <c r="F67" s="23" t="s">
        <v>101</v>
      </c>
      <c r="G67" s="6"/>
      <c r="H67" s="23" t="s">
        <v>102</v>
      </c>
      <c r="I67" s="6"/>
      <c r="J67" s="23" t="s">
        <v>103</v>
      </c>
      <c r="K67" s="6"/>
    </row>
    <row r="68" ht="15.75" customHeight="1">
      <c r="A68" s="10"/>
      <c r="B68" s="11"/>
      <c r="C68" s="12"/>
      <c r="D68" s="10"/>
      <c r="E68" s="12"/>
      <c r="F68" s="10"/>
      <c r="G68" s="12"/>
      <c r="H68" s="10"/>
      <c r="I68" s="12"/>
      <c r="J68" s="10"/>
      <c r="K68" s="12"/>
    </row>
    <row r="69" ht="15.75" customHeight="1">
      <c r="A69" s="14" t="s">
        <v>7</v>
      </c>
      <c r="B69" s="8"/>
      <c r="C69" s="9"/>
      <c r="D69" s="36" t="s">
        <v>104</v>
      </c>
     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  </row>
    <row r="70" ht="15.0" customHeight="1">
      <c r="A70" s="16" t="s">
        <v>11</v>
      </c>
      <c r="B70" s="17" t="s">
        <v>12</v>
      </c>
      <c r="C70" s="9"/>
      <c r="D70" s="33">
        <v>537.0</v>
      </c>
      <c r="E70" s="9"/>
      <c r="F70" s="33">
        <v>477.0</v>
      </c>
      <c r="G70" s="9"/>
      <c r="H70" s="33">
        <v>502.0</v>
      </c>
      <c r="I70" s="9"/>
      <c r="J70" s="33">
        <v>465.0</v>
      </c>
      <c r="K70" s="9"/>
    </row>
    <row r="71" ht="15.0" customHeight="1">
      <c r="A71" s="16" t="s">
        <v>13</v>
      </c>
      <c r="B71" s="17" t="s">
        <v>14</v>
      </c>
      <c r="C71" s="9"/>
      <c r="D71" s="33">
        <v>573.0</v>
      </c>
      <c r="E71" s="9"/>
      <c r="F71" s="33">
        <v>507.0</v>
      </c>
      <c r="G71" s="9"/>
      <c r="H71" s="33">
        <v>510.0</v>
      </c>
      <c r="I71" s="9"/>
      <c r="J71" s="33">
        <v>483.0</v>
      </c>
      <c r="K71" s="9"/>
    </row>
    <row r="72" ht="15.0" customHeight="1">
      <c r="A72" s="16" t="s">
        <v>15</v>
      </c>
      <c r="B72" s="17" t="s">
        <v>16</v>
      </c>
      <c r="C72" s="9"/>
      <c r="D72" s="33">
        <v>271.0</v>
      </c>
      <c r="E72" s="9"/>
      <c r="F72" s="33">
        <v>256.0</v>
      </c>
      <c r="G72" s="9"/>
      <c r="H72" s="33">
        <v>256.0</v>
      </c>
      <c r="I72" s="9"/>
      <c r="J72" s="33">
        <v>258.0</v>
      </c>
      <c r="K72" s="9"/>
    </row>
    <row r="73" ht="15.0" customHeight="1">
      <c r="A73" s="16" t="s">
        <v>17</v>
      </c>
      <c r="B73" s="17" t="s">
        <v>18</v>
      </c>
      <c r="C73" s="9"/>
      <c r="D73" s="33">
        <v>183.0</v>
      </c>
      <c r="E73" s="9"/>
      <c r="F73" s="33">
        <v>182.0</v>
      </c>
      <c r="G73" s="9"/>
      <c r="H73" s="33">
        <v>188.0</v>
      </c>
      <c r="I73" s="9"/>
      <c r="J73" s="33">
        <v>178.0</v>
      </c>
      <c r="K73" s="9"/>
    </row>
    <row r="74" ht="15.0" customHeight="1">
      <c r="A74" s="16" t="s">
        <v>19</v>
      </c>
      <c r="B74" s="17" t="s">
        <v>20</v>
      </c>
      <c r="C74" s="9"/>
      <c r="D74" s="33">
        <v>300.0</v>
      </c>
      <c r="E74" s="9"/>
      <c r="F74" s="33">
        <v>243.0</v>
      </c>
      <c r="G74" s="9"/>
      <c r="H74" s="33">
        <v>259.0</v>
      </c>
      <c r="I74" s="9"/>
      <c r="J74" s="33">
        <v>264.0</v>
      </c>
      <c r="K74" s="9"/>
    </row>
    <row r="75" ht="15.75" customHeight="1">
      <c r="A75" s="16" t="s">
        <v>21</v>
      </c>
      <c r="B75" s="17" t="s">
        <v>22</v>
      </c>
      <c r="C75" s="9"/>
      <c r="D75" s="33">
        <v>319.0</v>
      </c>
      <c r="E75" s="9"/>
      <c r="F75" s="33">
        <v>345.0</v>
      </c>
      <c r="G75" s="9"/>
      <c r="H75" s="33">
        <v>299.0</v>
      </c>
      <c r="I75" s="9"/>
      <c r="J75" s="33">
        <v>303.0</v>
      </c>
      <c r="K75" s="9"/>
    </row>
    <row r="76" ht="15.0" customHeight="1">
      <c r="A76" s="16" t="s">
        <v>23</v>
      </c>
      <c r="B76" s="17" t="s">
        <v>24</v>
      </c>
      <c r="C76" s="9"/>
      <c r="D76" s="33">
        <v>157.0</v>
      </c>
      <c r="E76" s="9"/>
      <c r="F76" s="33">
        <v>146.0</v>
      </c>
      <c r="G76" s="9"/>
      <c r="H76" s="33">
        <v>124.0</v>
      </c>
      <c r="I76" s="9"/>
      <c r="J76" s="33">
        <v>154.0</v>
      </c>
      <c r="K76" s="9"/>
    </row>
    <row r="77" ht="15.0" customHeight="1">
      <c r="A77" s="16" t="s">
        <v>25</v>
      </c>
      <c r="B77" s="17" t="s">
        <v>26</v>
      </c>
      <c r="C77" s="9"/>
      <c r="D77" s="33">
        <v>243.0</v>
      </c>
      <c r="E77" s="9"/>
      <c r="F77" s="33">
        <v>190.0</v>
      </c>
      <c r="G77" s="9"/>
      <c r="H77" s="33">
        <v>205.0</v>
      </c>
      <c r="I77" s="9"/>
      <c r="J77" s="33">
        <v>190.0</v>
      </c>
      <c r="K77" s="9"/>
    </row>
    <row r="78" ht="15.75" customHeight="1">
      <c r="A78" s="22" t="s">
        <v>108</v>
      </c>
      <c r="B78" s="8"/>
      <c r="C78" s="9"/>
      <c r="D78" s="30">
        <v>2583.0</v>
      </c>
      <c r="E78" s="9"/>
      <c r="F78" s="30">
        <v>2346.0</v>
      </c>
      <c r="G78" s="9"/>
      <c r="H78" s="30">
        <v>2343.0</v>
      </c>
      <c r="I78" s="9"/>
      <c r="J78" s="30">
        <v>2295.0</v>
      </c>
      <c r="K78" s="9"/>
    </row>
    <row r="79" ht="15.75" customHeight="1"/>
    <row r="80" ht="15.75" customHeight="1">
      <c r="A80" s="4" t="s">
        <v>109</v>
      </c>
      <c r="B80" s="5"/>
      <c r="C80" s="6"/>
      <c r="D80" s="13" t="s">
        <v>110</v>
      </c>
      <c r="E80" s="8"/>
      <c r="F80" s="8"/>
      <c r="G80" s="8"/>
      <c r="H80" s="8"/>
      <c r="I80" s="8"/>
      <c r="J80" s="8"/>
      <c r="K80" s="9"/>
    </row>
    <row r="81" ht="15.75" customHeight="1">
      <c r="A81" s="19"/>
      <c r="C81" s="20"/>
      <c r="D81" s="15" t="s">
        <v>52</v>
      </c>
      <c r="E81" s="8"/>
      <c r="F81" s="8"/>
      <c r="G81" s="9"/>
      <c r="H81" s="15" t="s">
        <v>53</v>
      </c>
      <c r="I81" s="8"/>
      <c r="J81" s="8"/>
      <c r="K81" s="9"/>
    </row>
    <row r="82" ht="15.75" customHeight="1">
      <c r="A82" s="19"/>
      <c r="C82" s="20"/>
      <c r="D82" s="23" t="s">
        <v>111</v>
      </c>
      <c r="E82" s="6"/>
      <c r="F82" s="23" t="s">
        <v>112</v>
      </c>
      <c r="G82" s="6"/>
      <c r="H82" s="23" t="s">
        <v>113</v>
      </c>
      <c r="I82" s="6"/>
      <c r="J82" s="23" t="s">
        <v>114</v>
      </c>
      <c r="K82" s="6"/>
    </row>
    <row r="83" ht="15.75" customHeight="1">
      <c r="A83" s="10"/>
      <c r="B83" s="11"/>
      <c r="C83" s="12"/>
      <c r="D83" s="10"/>
      <c r="E83" s="12"/>
      <c r="F83" s="10"/>
      <c r="G83" s="12"/>
      <c r="H83" s="10"/>
      <c r="I83" s="12"/>
      <c r="J83" s="10"/>
      <c r="K83" s="12"/>
    </row>
    <row r="84" ht="15.75" customHeight="1">
      <c r="A84" s="14" t="s">
        <v>7</v>
      </c>
      <c r="B84" s="8"/>
      <c r="C84" s="9"/>
      <c r="D84" s="36" t="s">
        <v>115</v>
      </c>
      <c r="E84" s="9"/>
      <c r="F84" s="36" t="s">
        <v>116</v>
      </c>
      <c r="G84" s="9"/>
      <c r="H84" s="36" t="s">
        <v>117</v>
      </c>
      <c r="I84" s="9"/>
      <c r="J84" s="36" t="s">
        <v>118</v>
      </c>
      <c r="K84" s="9"/>
    </row>
    <row r="85" ht="15.0" customHeight="1">
      <c r="A85" s="16" t="s">
        <v>11</v>
      </c>
      <c r="B85" s="17" t="s">
        <v>12</v>
      </c>
      <c r="C85" s="9"/>
      <c r="D85" s="33">
        <v>368.0</v>
      </c>
      <c r="E85" s="9"/>
      <c r="F85" s="33">
        <v>402.0</v>
      </c>
      <c r="G85" s="9"/>
      <c r="H85" s="33">
        <v>353.0</v>
      </c>
      <c r="I85" s="9"/>
      <c r="J85" s="33">
        <v>356.0</v>
      </c>
      <c r="K85" s="9"/>
    </row>
    <row r="86" ht="15.0" customHeight="1">
      <c r="A86" s="16" t="s">
        <v>13</v>
      </c>
      <c r="B86" s="17" t="s">
        <v>14</v>
      </c>
      <c r="C86" s="9"/>
      <c r="D86" s="33">
        <v>409.0</v>
      </c>
      <c r="E86" s="9"/>
      <c r="F86" s="33">
        <v>442.0</v>
      </c>
      <c r="G86" s="9"/>
      <c r="H86" s="33">
        <v>364.0</v>
      </c>
      <c r="I86" s="9"/>
      <c r="J86" s="33">
        <v>322.0</v>
      </c>
      <c r="K86" s="9"/>
    </row>
    <row r="87" ht="15.0" customHeight="1">
      <c r="A87" s="16" t="s">
        <v>15</v>
      </c>
      <c r="B87" s="17" t="s">
        <v>16</v>
      </c>
      <c r="C87" s="9"/>
      <c r="D87" s="33">
        <v>219.0</v>
      </c>
      <c r="E87" s="9"/>
      <c r="F87" s="33">
        <v>221.0</v>
      </c>
      <c r="G87" s="9"/>
      <c r="H87" s="33">
        <v>163.0</v>
      </c>
      <c r="I87" s="9"/>
      <c r="J87" s="33">
        <v>223.0</v>
      </c>
      <c r="K87" s="9"/>
    </row>
    <row r="88" ht="15.0" customHeight="1">
      <c r="A88" s="16" t="s">
        <v>17</v>
      </c>
      <c r="B88" s="17" t="s">
        <v>18</v>
      </c>
      <c r="C88" s="9"/>
      <c r="D88" s="33">
        <v>145.0</v>
      </c>
      <c r="E88" s="9"/>
      <c r="F88" s="33">
        <v>160.0</v>
      </c>
      <c r="G88" s="9"/>
      <c r="H88" s="33">
        <v>140.0</v>
      </c>
      <c r="I88" s="9"/>
      <c r="J88" s="33">
        <v>123.0</v>
      </c>
      <c r="K88" s="9"/>
    </row>
    <row r="89" ht="15.0" customHeight="1">
      <c r="A89" s="16" t="s">
        <v>19</v>
      </c>
      <c r="B89" s="17" t="s">
        <v>20</v>
      </c>
      <c r="C89" s="9"/>
      <c r="D89" s="33">
        <v>206.0</v>
      </c>
      <c r="E89" s="9"/>
      <c r="F89" s="33">
        <v>216.0</v>
      </c>
      <c r="G89" s="9"/>
      <c r="H89" s="33">
        <v>202.0</v>
      </c>
      <c r="I89" s="9"/>
      <c r="J89" s="33">
        <v>211.0</v>
      </c>
      <c r="K89" s="9"/>
    </row>
    <row r="90" ht="15.75" customHeight="1">
      <c r="A90" s="16" t="s">
        <v>21</v>
      </c>
      <c r="B90" s="17" t="s">
        <v>22</v>
      </c>
      <c r="C90" s="9"/>
      <c r="D90" s="33">
        <v>283.0</v>
      </c>
      <c r="E90" s="9"/>
      <c r="F90" s="33">
        <v>281.0</v>
      </c>
      <c r="G90" s="9"/>
      <c r="H90" s="33">
        <v>243.0</v>
      </c>
      <c r="I90" s="9"/>
      <c r="J90" s="33">
        <v>238.0</v>
      </c>
      <c r="K90" s="9"/>
    </row>
    <row r="91" ht="15.0" customHeight="1">
      <c r="A91" s="16" t="s">
        <v>23</v>
      </c>
      <c r="B91" s="17" t="s">
        <v>24</v>
      </c>
      <c r="C91" s="9"/>
      <c r="D91" s="33">
        <v>135.0</v>
      </c>
      <c r="E91" s="9"/>
      <c r="F91" s="33">
        <v>117.0</v>
      </c>
      <c r="G91" s="9"/>
      <c r="H91" s="33">
        <v>117.0</v>
      </c>
      <c r="I91" s="9"/>
      <c r="J91" s="33">
        <v>101.0</v>
      </c>
      <c r="K91" s="9"/>
    </row>
    <row r="92" ht="15.0" customHeight="1">
      <c r="A92" s="16" t="s">
        <v>25</v>
      </c>
      <c r="B92" s="17" t="s">
        <v>26</v>
      </c>
      <c r="C92" s="9"/>
      <c r="D92" s="33">
        <v>188.0</v>
      </c>
      <c r="E92" s="9"/>
      <c r="F92" s="33">
        <v>168.0</v>
      </c>
      <c r="G92" s="9"/>
      <c r="H92" s="33">
        <v>111.0</v>
      </c>
      <c r="I92" s="9"/>
      <c r="J92" s="33">
        <v>129.0</v>
      </c>
      <c r="K92" s="9"/>
    </row>
    <row r="93" ht="15.75" customHeight="1">
      <c r="A93" s="22" t="s">
        <v>119</v>
      </c>
      <c r="B93" s="8"/>
      <c r="C93" s="9"/>
      <c r="D93" s="30">
        <v>1953.0</v>
      </c>
      <c r="E93" s="9"/>
      <c r="F93" s="30">
        <v>2007.0</v>
      </c>
      <c r="G93" s="9"/>
      <c r="H93" s="30">
        <v>1693.0</v>
      </c>
      <c r="I93" s="9"/>
      <c r="J93" s="30">
        <v>1703.0</v>
      </c>
      <c r="K93" s="9"/>
    </row>
    <row r="94" ht="15.75" customHeight="1"/>
    <row r="95" ht="15.75" customHeight="1">
      <c r="A95" s="4" t="s">
        <v>120</v>
      </c>
      <c r="B95" s="5"/>
      <c r="C95" s="6"/>
      <c r="D95" s="13" t="s">
        <v>121</v>
      </c>
      <c r="E95" s="8"/>
      <c r="F95" s="8"/>
      <c r="G95" s="8"/>
      <c r="H95" s="8"/>
      <c r="I95" s="8"/>
      <c r="J95" s="8"/>
      <c r="K95" s="9"/>
    </row>
    <row r="96" ht="15.75" customHeight="1">
      <c r="A96" s="19"/>
      <c r="C96" s="20"/>
      <c r="D96" s="15" t="s">
        <v>54</v>
      </c>
      <c r="E96" s="8"/>
      <c r="F96" s="8"/>
      <c r="G96" s="9"/>
      <c r="H96" s="15" t="s">
        <v>55</v>
      </c>
      <c r="I96" s="8"/>
      <c r="J96" s="8"/>
      <c r="K96" s="9"/>
    </row>
    <row r="97" ht="15.75" customHeight="1">
      <c r="A97" s="19"/>
      <c r="C97" s="20"/>
      <c r="D97" s="23" t="s">
        <v>122</v>
      </c>
      <c r="E97" s="6"/>
      <c r="F97" s="23" t="s">
        <v>123</v>
      </c>
      <c r="G97" s="6"/>
      <c r="H97" s="23" t="s">
        <v>124</v>
      </c>
      <c r="I97" s="6"/>
      <c r="J97" s="23" t="s">
        <v>125</v>
      </c>
      <c r="K97" s="6"/>
    </row>
    <row r="98" ht="15.75" customHeight="1">
      <c r="A98" s="10"/>
      <c r="B98" s="11"/>
      <c r="C98" s="12"/>
      <c r="D98" s="10"/>
      <c r="E98" s="12"/>
      <c r="F98" s="10"/>
      <c r="G98" s="12"/>
      <c r="H98" s="10"/>
      <c r="I98" s="12"/>
      <c r="J98" s="10"/>
      <c r="K98" s="12"/>
    </row>
    <row r="99" ht="15.75" customHeight="1">
      <c r="A99" s="14" t="s">
        <v>7</v>
      </c>
      <c r="B99" s="8"/>
      <c r="C99" s="9"/>
      <c r="D99" s="36" t="s">
        <v>126</v>
      </c>
      <c r="E99" s="9"/>
      <c r="F99" s="36" t="s">
        <v>127</v>
      </c>
      <c r="G99" s="9"/>
      <c r="H99" s="36" t="s">
        <v>128</v>
      </c>
      <c r="I99" s="9"/>
      <c r="J99" s="36" t="s">
        <v>129</v>
      </c>
      <c r="K99" s="9"/>
    </row>
    <row r="100" ht="15.0" customHeight="1">
      <c r="A100" s="16" t="s">
        <v>11</v>
      </c>
      <c r="B100" s="17" t="s">
        <v>12</v>
      </c>
      <c r="C100" s="9"/>
      <c r="D100" s="33">
        <v>296.0</v>
      </c>
      <c r="E100" s="9"/>
      <c r="F100" s="33">
        <v>327.0</v>
      </c>
      <c r="G100" s="9"/>
      <c r="H100" s="33">
        <v>234.0</v>
      </c>
      <c r="I100" s="9"/>
      <c r="J100" s="33">
        <v>251.0</v>
      </c>
      <c r="K100" s="9"/>
    </row>
    <row r="101" ht="15.0" customHeight="1">
      <c r="A101" s="16" t="s">
        <v>13</v>
      </c>
      <c r="B101" s="17" t="s">
        <v>14</v>
      </c>
      <c r="C101" s="9"/>
      <c r="D101" s="33">
        <v>273.0</v>
      </c>
      <c r="E101" s="9"/>
      <c r="F101" s="33">
        <v>306.0</v>
      </c>
      <c r="G101" s="9"/>
      <c r="H101" s="33">
        <v>221.0</v>
      </c>
      <c r="I101" s="9"/>
      <c r="J101" s="33">
        <v>202.0</v>
      </c>
      <c r="K101" s="9"/>
    </row>
    <row r="102" ht="15.0" customHeight="1">
      <c r="A102" s="16" t="s">
        <v>15</v>
      </c>
      <c r="B102" s="17" t="s">
        <v>16</v>
      </c>
      <c r="C102" s="9"/>
      <c r="D102" s="33">
        <v>151.0</v>
      </c>
      <c r="E102" s="9"/>
      <c r="F102" s="33">
        <v>172.0</v>
      </c>
      <c r="G102" s="9"/>
      <c r="H102" s="33">
        <v>125.0</v>
      </c>
      <c r="I102" s="9"/>
      <c r="J102" s="33">
        <v>118.0</v>
      </c>
      <c r="K102" s="9"/>
    </row>
    <row r="103" ht="15.0" customHeight="1">
      <c r="A103" s="16" t="s">
        <v>17</v>
      </c>
      <c r="B103" s="17" t="s">
        <v>18</v>
      </c>
      <c r="C103" s="9"/>
      <c r="D103" s="33">
        <v>117.0</v>
      </c>
      <c r="E103" s="9"/>
      <c r="F103" s="33">
        <v>116.0</v>
      </c>
      <c r="G103" s="9"/>
      <c r="H103" s="33">
        <v>102.0</v>
      </c>
      <c r="I103" s="9"/>
      <c r="J103" s="33">
        <v>104.0</v>
      </c>
      <c r="K103" s="9"/>
    </row>
    <row r="104" ht="15.0" customHeight="1">
      <c r="A104" s="16" t="s">
        <v>19</v>
      </c>
      <c r="B104" s="17" t="s">
        <v>20</v>
      </c>
      <c r="C104" s="9"/>
      <c r="D104" s="33">
        <v>176.0</v>
      </c>
      <c r="E104" s="9"/>
      <c r="F104" s="33">
        <v>167.0</v>
      </c>
      <c r="G104" s="9"/>
      <c r="H104" s="33">
        <v>150.0</v>
      </c>
      <c r="I104" s="9"/>
      <c r="J104" s="33">
        <v>158.0</v>
      </c>
      <c r="K104" s="9"/>
    </row>
    <row r="105" ht="15.75" customHeight="1">
      <c r="A105" s="16" t="s">
        <v>21</v>
      </c>
      <c r="B105" s="17" t="s">
        <v>22</v>
      </c>
      <c r="C105" s="9"/>
      <c r="D105" s="33">
        <v>193.0</v>
      </c>
      <c r="E105" s="9"/>
      <c r="F105" s="33">
        <v>202.0</v>
      </c>
      <c r="G105" s="9"/>
      <c r="H105" s="33">
        <v>164.0</v>
      </c>
      <c r="I105" s="9"/>
      <c r="J105" s="33">
        <v>187.0</v>
      </c>
      <c r="K105" s="9"/>
    </row>
    <row r="106" ht="15.0" customHeight="1">
      <c r="A106" s="16" t="s">
        <v>23</v>
      </c>
      <c r="B106" s="17" t="s">
        <v>24</v>
      </c>
      <c r="C106" s="9"/>
      <c r="D106" s="33">
        <v>87.0</v>
      </c>
      <c r="E106" s="9"/>
      <c r="F106" s="33">
        <v>92.0</v>
      </c>
      <c r="G106" s="9"/>
      <c r="H106" s="33">
        <v>79.0</v>
      </c>
      <c r="I106" s="9"/>
      <c r="J106" s="33">
        <v>63.0</v>
      </c>
      <c r="K106" s="9"/>
    </row>
    <row r="107" ht="15.0" customHeight="1">
      <c r="A107" s="16" t="s">
        <v>25</v>
      </c>
      <c r="B107" s="17" t="s">
        <v>26</v>
      </c>
      <c r="C107" s="9"/>
      <c r="D107" s="33">
        <v>105.0</v>
      </c>
      <c r="E107" s="9"/>
      <c r="F107" s="33">
        <v>103.0</v>
      </c>
      <c r="G107" s="9"/>
      <c r="H107" s="33">
        <v>74.0</v>
      </c>
      <c r="I107" s="9"/>
      <c r="J107" s="33">
        <v>89.0</v>
      </c>
      <c r="K107" s="9"/>
    </row>
    <row r="108" ht="15.75" customHeight="1">
      <c r="A108" s="22" t="s">
        <v>130</v>
      </c>
      <c r="B108" s="8"/>
      <c r="C108" s="9"/>
      <c r="D108" s="30">
        <v>1398.0</v>
      </c>
      <c r="E108" s="9"/>
      <c r="F108" s="30">
        <v>1485.0</v>
      </c>
      <c r="G108" s="9"/>
      <c r="H108" s="30">
        <v>1149.0</v>
      </c>
      <c r="I108" s="9"/>
      <c r="J108" s="30">
        <v>1172.0</v>
      </c>
      <c r="K108" s="9"/>
    </row>
    <row r="109" ht="15.75" customHeight="1"/>
    <row r="110" ht="15.75" customHeight="1">
      <c r="A110" s="4" t="s">
        <v>131</v>
      </c>
      <c r="B110" s="5"/>
      <c r="C110" s="6"/>
      <c r="D110" s="13" t="s">
        <v>132</v>
      </c>
      <c r="E110" s="8"/>
      <c r="F110" s="8"/>
      <c r="G110" s="8"/>
      <c r="H110" s="8"/>
      <c r="I110" s="8"/>
      <c r="J110" s="8"/>
      <c r="K110" s="9"/>
    </row>
    <row r="111" ht="15.75" customHeight="1">
      <c r="A111" s="19"/>
      <c r="C111" s="20"/>
      <c r="D111" s="15" t="s">
        <v>56</v>
      </c>
      <c r="E111" s="8"/>
      <c r="F111" s="8"/>
      <c r="G111" s="9"/>
      <c r="H111" s="15" t="s">
        <v>57</v>
      </c>
      <c r="I111" s="8"/>
      <c r="J111" s="8"/>
      <c r="K111" s="9"/>
    </row>
    <row r="112" ht="15.75" customHeight="1">
      <c r="A112" s="19"/>
      <c r="C112" s="20"/>
      <c r="D112" s="23" t="s">
        <v>133</v>
      </c>
      <c r="E112" s="6"/>
      <c r="F112" s="23" t="s">
        <v>134</v>
      </c>
      <c r="G112" s="6"/>
      <c r="H112" s="23" t="s">
        <v>135</v>
      </c>
      <c r="I112" s="6"/>
      <c r="J112" s="23" t="s">
        <v>136</v>
      </c>
      <c r="K112" s="6"/>
    </row>
    <row r="113" ht="15.75" customHeight="1">
      <c r="A113" s="10"/>
      <c r="B113" s="11"/>
      <c r="C113" s="12"/>
      <c r="D113" s="10"/>
      <c r="E113" s="12"/>
      <c r="F113" s="10"/>
      <c r="G113" s="12"/>
      <c r="H113" s="10"/>
      <c r="I113" s="12"/>
      <c r="J113" s="10"/>
      <c r="K113" s="12"/>
    </row>
    <row r="114" ht="15.75" customHeight="1">
      <c r="A114" s="14" t="s">
        <v>7</v>
      </c>
      <c r="B114" s="8"/>
      <c r="C114" s="9"/>
      <c r="D114" s="36" t="s">
        <v>137</v>
      </c>
      <c r="E114" s="9"/>
      <c r="F114" s="36" t="s">
        <v>138</v>
      </c>
      <c r="G114" s="9"/>
      <c r="H114" s="36" t="s">
        <v>139</v>
      </c>
      <c r="I114" s="9"/>
      <c r="J114" s="36" t="s">
        <v>140</v>
      </c>
      <c r="K114" s="9"/>
    </row>
    <row r="115" ht="15.0" customHeight="1">
      <c r="A115" s="16" t="s">
        <v>11</v>
      </c>
      <c r="B115" s="17" t="s">
        <v>12</v>
      </c>
      <c r="C115" s="9"/>
      <c r="D115" s="33">
        <v>188.0</v>
      </c>
      <c r="E115" s="9"/>
      <c r="F115" s="33">
        <v>175.0</v>
      </c>
      <c r="G115" s="37"/>
      <c r="H115" s="33">
        <v>273.0</v>
      </c>
      <c r="I115" s="9"/>
      <c r="J115" s="33">
        <v>270.0</v>
      </c>
      <c r="K115" s="9"/>
    </row>
    <row r="116" ht="15.0" customHeight="1">
      <c r="A116" s="16" t="s">
        <v>13</v>
      </c>
      <c r="B116" s="17" t="s">
        <v>14</v>
      </c>
      <c r="C116" s="9"/>
      <c r="D116" s="33">
        <v>138.0</v>
      </c>
      <c r="E116" s="9"/>
      <c r="F116" s="33">
        <v>156.0</v>
      </c>
      <c r="G116" s="37"/>
      <c r="H116" s="33">
        <v>166.0</v>
      </c>
      <c r="I116" s="9"/>
      <c r="J116" s="33">
        <v>261.0</v>
      </c>
      <c r="K116" s="9"/>
    </row>
    <row r="117" ht="15.0" customHeight="1">
      <c r="A117" s="16" t="s">
        <v>15</v>
      </c>
      <c r="B117" s="17" t="s">
        <v>16</v>
      </c>
      <c r="C117" s="9"/>
      <c r="D117" s="33">
        <v>88.0</v>
      </c>
      <c r="E117" s="9"/>
      <c r="F117" s="33">
        <v>84.0</v>
      </c>
      <c r="G117" s="37"/>
      <c r="H117" s="33">
        <v>108.0</v>
      </c>
      <c r="I117" s="9"/>
      <c r="J117" s="33">
        <v>140.0</v>
      </c>
      <c r="K117" s="9"/>
    </row>
    <row r="118" ht="15.0" customHeight="1">
      <c r="A118" s="16" t="s">
        <v>17</v>
      </c>
      <c r="B118" s="17" t="s">
        <v>18</v>
      </c>
      <c r="C118" s="9"/>
      <c r="D118" s="33">
        <v>64.0</v>
      </c>
      <c r="E118" s="9"/>
      <c r="F118" s="33">
        <v>64.0</v>
      </c>
      <c r="G118" s="37"/>
      <c r="H118" s="33">
        <v>74.0</v>
      </c>
      <c r="I118" s="9"/>
      <c r="J118" s="33">
        <v>100.0</v>
      </c>
      <c r="K118" s="9"/>
    </row>
    <row r="119" ht="15.0" customHeight="1">
      <c r="A119" s="16" t="s">
        <v>19</v>
      </c>
      <c r="B119" s="17" t="s">
        <v>20</v>
      </c>
      <c r="C119" s="9"/>
      <c r="D119" s="33">
        <v>101.0</v>
      </c>
      <c r="E119" s="9"/>
      <c r="F119" s="33">
        <v>102.0</v>
      </c>
      <c r="G119" s="37"/>
      <c r="H119" s="33">
        <v>114.0</v>
      </c>
      <c r="I119" s="9"/>
      <c r="J119" s="33">
        <v>130.0</v>
      </c>
      <c r="K119" s="9"/>
    </row>
    <row r="120" ht="15.75" customHeight="1">
      <c r="A120" s="16" t="s">
        <v>21</v>
      </c>
      <c r="B120" s="17" t="s">
        <v>22</v>
      </c>
      <c r="C120" s="9"/>
      <c r="D120" s="33">
        <v>131.0</v>
      </c>
      <c r="E120" s="9"/>
      <c r="F120" s="33">
        <v>105.0</v>
      </c>
      <c r="G120" s="37"/>
      <c r="H120" s="33">
        <v>184.0</v>
      </c>
      <c r="I120" s="9"/>
      <c r="J120" s="33">
        <v>203.0</v>
      </c>
      <c r="K120" s="9"/>
    </row>
    <row r="121" ht="15.0" customHeight="1">
      <c r="A121" s="16" t="s">
        <v>23</v>
      </c>
      <c r="B121" s="17" t="s">
        <v>24</v>
      </c>
      <c r="C121" s="9"/>
      <c r="D121" s="33">
        <v>46.0</v>
      </c>
      <c r="E121" s="9"/>
      <c r="F121" s="33">
        <v>43.0</v>
      </c>
      <c r="G121" s="37"/>
      <c r="H121" s="33">
        <v>68.0</v>
      </c>
      <c r="I121" s="9"/>
      <c r="J121" s="33">
        <v>69.0</v>
      </c>
      <c r="K121" s="9"/>
    </row>
    <row r="122" ht="15.0" customHeight="1">
      <c r="A122" s="16" t="s">
        <v>25</v>
      </c>
      <c r="B122" s="17" t="s">
        <v>26</v>
      </c>
      <c r="C122" s="9"/>
      <c r="D122" s="33">
        <v>55.0</v>
      </c>
      <c r="E122" s="9"/>
      <c r="F122" s="33">
        <v>52.0</v>
      </c>
      <c r="G122" s="37"/>
      <c r="H122" s="33">
        <v>54.0</v>
      </c>
      <c r="I122" s="9"/>
      <c r="J122" s="33">
        <v>69.0</v>
      </c>
      <c r="K122" s="9"/>
    </row>
    <row r="123" ht="15.75" customHeight="1">
      <c r="A123" s="22" t="s">
        <v>141</v>
      </c>
      <c r="B123" s="8"/>
      <c r="C123" s="9"/>
      <c r="D123" s="33">
        <v>811.0</v>
      </c>
      <c r="E123" s="9"/>
      <c r="F123" s="33">
        <v>781.0</v>
      </c>
      <c r="G123" s="37"/>
      <c r="H123" s="30">
        <v>1041.0</v>
      </c>
      <c r="I123" s="9"/>
      <c r="J123" s="30">
        <v>1242.0</v>
      </c>
      <c r="K123" s="9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6"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D21:G21"/>
    <mergeCell ref="H21:K21"/>
    <mergeCell ref="H16:I16"/>
    <mergeCell ref="J16:K16"/>
    <mergeCell ref="H17:I17"/>
    <mergeCell ref="J17:K17"/>
    <mergeCell ref="H18:I18"/>
    <mergeCell ref="J18:K18"/>
    <mergeCell ref="D20:K20"/>
    <mergeCell ref="H24:I24"/>
    <mergeCell ref="J24:K24"/>
    <mergeCell ref="H25:I25"/>
    <mergeCell ref="J25:K25"/>
    <mergeCell ref="H26:I26"/>
    <mergeCell ref="J26:K26"/>
    <mergeCell ref="A18:C18"/>
    <mergeCell ref="A20:C23"/>
    <mergeCell ref="D22:E23"/>
    <mergeCell ref="F22:G23"/>
    <mergeCell ref="H22:I23"/>
    <mergeCell ref="J22:K23"/>
    <mergeCell ref="A24:C24"/>
    <mergeCell ref="D24:E24"/>
    <mergeCell ref="F24:G24"/>
    <mergeCell ref="B25:C25"/>
    <mergeCell ref="D25:E25"/>
    <mergeCell ref="F25:G25"/>
    <mergeCell ref="D26:E26"/>
    <mergeCell ref="F26:G26"/>
    <mergeCell ref="H28:I28"/>
    <mergeCell ref="J28:K28"/>
    <mergeCell ref="H29:I29"/>
    <mergeCell ref="J29:K29"/>
    <mergeCell ref="H30:I30"/>
    <mergeCell ref="J30:K30"/>
    <mergeCell ref="B26:C26"/>
    <mergeCell ref="B27:C27"/>
    <mergeCell ref="D27:E27"/>
    <mergeCell ref="F27:G27"/>
    <mergeCell ref="H27:I27"/>
    <mergeCell ref="J27:K27"/>
    <mergeCell ref="B28:C28"/>
    <mergeCell ref="D28:E28"/>
    <mergeCell ref="F28:G28"/>
    <mergeCell ref="B29:C29"/>
    <mergeCell ref="D29:E29"/>
    <mergeCell ref="F29:G29"/>
    <mergeCell ref="D30:E30"/>
    <mergeCell ref="F30:G30"/>
    <mergeCell ref="H32:I32"/>
    <mergeCell ref="J32:K32"/>
    <mergeCell ref="H33:I33"/>
    <mergeCell ref="J33:K33"/>
    <mergeCell ref="D35:K35"/>
    <mergeCell ref="H36:K36"/>
    <mergeCell ref="B30:C30"/>
    <mergeCell ref="B31:C31"/>
    <mergeCell ref="D31:E31"/>
    <mergeCell ref="F31:G31"/>
    <mergeCell ref="H31:I31"/>
    <mergeCell ref="J31:K31"/>
    <mergeCell ref="B32:C32"/>
    <mergeCell ref="D37:E38"/>
    <mergeCell ref="F37:G38"/>
    <mergeCell ref="H37:I38"/>
    <mergeCell ref="J37:K38"/>
    <mergeCell ref="D32:E32"/>
    <mergeCell ref="F32:G32"/>
    <mergeCell ref="A33:C33"/>
    <mergeCell ref="D33:E33"/>
    <mergeCell ref="F33:G33"/>
    <mergeCell ref="A35:C38"/>
    <mergeCell ref="D36:G36"/>
    <mergeCell ref="H46:I46"/>
    <mergeCell ref="J46:K46"/>
    <mergeCell ref="H47:I47"/>
    <mergeCell ref="J47:K47"/>
    <mergeCell ref="H48:I48"/>
    <mergeCell ref="J48:K48"/>
    <mergeCell ref="D46:E46"/>
    <mergeCell ref="F46:G46"/>
    <mergeCell ref="B47:C47"/>
    <mergeCell ref="D47:E47"/>
    <mergeCell ref="F47:G47"/>
    <mergeCell ref="D48:E48"/>
    <mergeCell ref="F48:G48"/>
    <mergeCell ref="D50:K50"/>
    <mergeCell ref="D51:G51"/>
    <mergeCell ref="H51:K51"/>
    <mergeCell ref="H54:I54"/>
    <mergeCell ref="J54:K54"/>
    <mergeCell ref="A48:C48"/>
    <mergeCell ref="A50:C53"/>
    <mergeCell ref="D52:E53"/>
    <mergeCell ref="F52:G53"/>
    <mergeCell ref="H52:I53"/>
    <mergeCell ref="J52:K53"/>
    <mergeCell ref="A54:C54"/>
    <mergeCell ref="F40:G40"/>
    <mergeCell ref="H40:I40"/>
    <mergeCell ref="A39:C39"/>
    <mergeCell ref="D39:E39"/>
    <mergeCell ref="F39:G39"/>
    <mergeCell ref="H39:I39"/>
    <mergeCell ref="J39:K39"/>
    <mergeCell ref="D40:E40"/>
    <mergeCell ref="J40:K40"/>
    <mergeCell ref="H42:I42"/>
    <mergeCell ref="J42:K42"/>
    <mergeCell ref="H43:I43"/>
    <mergeCell ref="J43:K43"/>
    <mergeCell ref="H44:I44"/>
    <mergeCell ref="J44:K44"/>
    <mergeCell ref="B40:C40"/>
    <mergeCell ref="B41:C41"/>
    <mergeCell ref="D41:E41"/>
    <mergeCell ref="F41:G41"/>
    <mergeCell ref="H41:I41"/>
    <mergeCell ref="J41:K41"/>
    <mergeCell ref="B42:C42"/>
    <mergeCell ref="D42:E42"/>
    <mergeCell ref="F42:G42"/>
    <mergeCell ref="B43:C43"/>
    <mergeCell ref="D43:E43"/>
    <mergeCell ref="F43:G43"/>
    <mergeCell ref="D44:E44"/>
    <mergeCell ref="F44:G44"/>
    <mergeCell ref="B44:C44"/>
    <mergeCell ref="B45:C45"/>
    <mergeCell ref="D45:E45"/>
    <mergeCell ref="F45:G45"/>
    <mergeCell ref="H45:I45"/>
    <mergeCell ref="J45:K45"/>
    <mergeCell ref="B46:C46"/>
    <mergeCell ref="D54:E54"/>
    <mergeCell ref="F54:G54"/>
    <mergeCell ref="B55:C55"/>
    <mergeCell ref="D55:E55"/>
    <mergeCell ref="F55:G55"/>
    <mergeCell ref="H55:I55"/>
    <mergeCell ref="J55:K55"/>
    <mergeCell ref="H63:I63"/>
    <mergeCell ref="J63:K63"/>
    <mergeCell ref="D65:K65"/>
    <mergeCell ref="H66:K66"/>
    <mergeCell ref="D63:E63"/>
    <mergeCell ref="F63:G63"/>
    <mergeCell ref="D66:G66"/>
    <mergeCell ref="D67:E68"/>
    <mergeCell ref="F67:G68"/>
    <mergeCell ref="H67:I68"/>
    <mergeCell ref="J67:K68"/>
    <mergeCell ref="D110:K110"/>
    <mergeCell ref="D111:G111"/>
    <mergeCell ref="H111:K111"/>
    <mergeCell ref="H114:I114"/>
    <mergeCell ref="J114:K114"/>
    <mergeCell ref="A108:C108"/>
    <mergeCell ref="A110:C113"/>
    <mergeCell ref="D112:E113"/>
    <mergeCell ref="F112:G113"/>
    <mergeCell ref="H112:I113"/>
    <mergeCell ref="J112:K113"/>
    <mergeCell ref="A114:C114"/>
    <mergeCell ref="H118:I118"/>
    <mergeCell ref="J118:K118"/>
    <mergeCell ref="B116:C116"/>
    <mergeCell ref="B117:C117"/>
    <mergeCell ref="D117:E117"/>
    <mergeCell ref="H117:I117"/>
    <mergeCell ref="J117:K117"/>
    <mergeCell ref="B118:C118"/>
    <mergeCell ref="D118:E118"/>
    <mergeCell ref="B119:C119"/>
    <mergeCell ref="D119:E119"/>
    <mergeCell ref="H119:I119"/>
    <mergeCell ref="J119:K119"/>
    <mergeCell ref="D120:E120"/>
    <mergeCell ref="H120:I120"/>
    <mergeCell ref="J120:K120"/>
    <mergeCell ref="B120:C120"/>
    <mergeCell ref="B121:C121"/>
    <mergeCell ref="D121:E121"/>
    <mergeCell ref="H121:I121"/>
    <mergeCell ref="J121:K121"/>
    <mergeCell ref="B122:C122"/>
    <mergeCell ref="D122:E122"/>
    <mergeCell ref="F100:G100"/>
    <mergeCell ref="H100:I100"/>
    <mergeCell ref="A99:C99"/>
    <mergeCell ref="D99:E99"/>
    <mergeCell ref="F99:G99"/>
    <mergeCell ref="H99:I99"/>
    <mergeCell ref="J99:K99"/>
    <mergeCell ref="D100:E100"/>
    <mergeCell ref="J100:K100"/>
    <mergeCell ref="H102:I102"/>
    <mergeCell ref="J102:K102"/>
    <mergeCell ref="H103:I103"/>
    <mergeCell ref="J103:K103"/>
    <mergeCell ref="H104:I104"/>
    <mergeCell ref="J104:K104"/>
    <mergeCell ref="B100:C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B103:C103"/>
    <mergeCell ref="D103:E103"/>
    <mergeCell ref="F103:G103"/>
    <mergeCell ref="D104:E104"/>
    <mergeCell ref="F104:G104"/>
    <mergeCell ref="B104:C104"/>
    <mergeCell ref="B105:C105"/>
    <mergeCell ref="D105:E105"/>
    <mergeCell ref="F105:G105"/>
    <mergeCell ref="H105:I105"/>
    <mergeCell ref="J105:K105"/>
    <mergeCell ref="B106:C106"/>
    <mergeCell ref="H122:I122"/>
    <mergeCell ref="J122:K122"/>
    <mergeCell ref="A123:C123"/>
    <mergeCell ref="D123:E123"/>
    <mergeCell ref="H123:I123"/>
    <mergeCell ref="J123:K123"/>
    <mergeCell ref="H70:I70"/>
    <mergeCell ref="J70:K70"/>
    <mergeCell ref="A65:C68"/>
    <mergeCell ref="A69:C69"/>
    <mergeCell ref="D69:E69"/>
    <mergeCell ref="F69:G69"/>
    <mergeCell ref="H69:I69"/>
    <mergeCell ref="J69:K69"/>
    <mergeCell ref="B70:C70"/>
    <mergeCell ref="F57:G57"/>
    <mergeCell ref="H57:I57"/>
    <mergeCell ref="B56:C56"/>
    <mergeCell ref="D56:E56"/>
    <mergeCell ref="F56:G56"/>
    <mergeCell ref="H56:I56"/>
    <mergeCell ref="J56:K56"/>
    <mergeCell ref="D57:E57"/>
    <mergeCell ref="J57:K57"/>
    <mergeCell ref="H59:I59"/>
    <mergeCell ref="J59:K59"/>
    <mergeCell ref="H60:I60"/>
    <mergeCell ref="J60:K60"/>
    <mergeCell ref="H61:I61"/>
    <mergeCell ref="J61:K61"/>
    <mergeCell ref="B57:C57"/>
    <mergeCell ref="B58:C58"/>
    <mergeCell ref="D58:E58"/>
    <mergeCell ref="F58:G58"/>
    <mergeCell ref="H58:I58"/>
    <mergeCell ref="J58:K58"/>
    <mergeCell ref="B59:C59"/>
    <mergeCell ref="D59:E59"/>
    <mergeCell ref="F59:G59"/>
    <mergeCell ref="B60:C60"/>
    <mergeCell ref="D60:E60"/>
    <mergeCell ref="F60:G60"/>
    <mergeCell ref="D61:E61"/>
    <mergeCell ref="F61:G61"/>
    <mergeCell ref="B61:C61"/>
    <mergeCell ref="B62:C62"/>
    <mergeCell ref="D62:E62"/>
    <mergeCell ref="F62:G62"/>
    <mergeCell ref="H62:I62"/>
    <mergeCell ref="J62:K62"/>
    <mergeCell ref="A63:C63"/>
    <mergeCell ref="D70:E70"/>
    <mergeCell ref="F70:G70"/>
    <mergeCell ref="B71:C71"/>
    <mergeCell ref="D71:E71"/>
    <mergeCell ref="F71:G71"/>
    <mergeCell ref="H71:I71"/>
    <mergeCell ref="J71:K71"/>
    <mergeCell ref="B77:C77"/>
    <mergeCell ref="A78:C78"/>
    <mergeCell ref="D78:E78"/>
    <mergeCell ref="F78:G78"/>
    <mergeCell ref="H78:I78"/>
    <mergeCell ref="J78:K78"/>
    <mergeCell ref="D80:K80"/>
    <mergeCell ref="H81:K81"/>
    <mergeCell ref="A80:C83"/>
    <mergeCell ref="D81:G81"/>
    <mergeCell ref="D82:E83"/>
    <mergeCell ref="F82:G83"/>
    <mergeCell ref="H82:I83"/>
    <mergeCell ref="J82:K83"/>
    <mergeCell ref="A84:C84"/>
    <mergeCell ref="F73:G73"/>
    <mergeCell ref="H73:I73"/>
    <mergeCell ref="B72:C72"/>
    <mergeCell ref="D72:E72"/>
    <mergeCell ref="F72:G72"/>
    <mergeCell ref="H72:I72"/>
    <mergeCell ref="J72:K72"/>
    <mergeCell ref="D73:E73"/>
    <mergeCell ref="J73:K73"/>
    <mergeCell ref="H75:I75"/>
    <mergeCell ref="J75:K75"/>
    <mergeCell ref="H76:I76"/>
    <mergeCell ref="J76:K76"/>
    <mergeCell ref="H77:I77"/>
    <mergeCell ref="J77:K77"/>
    <mergeCell ref="B73:C73"/>
    <mergeCell ref="B74:C74"/>
    <mergeCell ref="D74:E74"/>
    <mergeCell ref="F74:G74"/>
    <mergeCell ref="H74:I74"/>
    <mergeCell ref="J74:K74"/>
    <mergeCell ref="B75:C75"/>
    <mergeCell ref="D75:E75"/>
    <mergeCell ref="F75:G75"/>
    <mergeCell ref="B76:C76"/>
    <mergeCell ref="D76:E76"/>
    <mergeCell ref="F76:G76"/>
    <mergeCell ref="D77:E77"/>
    <mergeCell ref="F77:G77"/>
    <mergeCell ref="H84:I84"/>
    <mergeCell ref="J84:K84"/>
    <mergeCell ref="H85:I85"/>
    <mergeCell ref="J85:K85"/>
    <mergeCell ref="H86:I86"/>
    <mergeCell ref="J86:K86"/>
    <mergeCell ref="D84:E84"/>
    <mergeCell ref="F84:G84"/>
    <mergeCell ref="B85:C85"/>
    <mergeCell ref="D85:E85"/>
    <mergeCell ref="F85:G85"/>
    <mergeCell ref="D86:E86"/>
    <mergeCell ref="F86:G86"/>
    <mergeCell ref="H88:I88"/>
    <mergeCell ref="J88:K88"/>
    <mergeCell ref="H89:I89"/>
    <mergeCell ref="J89:K89"/>
    <mergeCell ref="H90:I90"/>
    <mergeCell ref="J90:K90"/>
    <mergeCell ref="B86:C86"/>
    <mergeCell ref="B87:C87"/>
    <mergeCell ref="D87:E87"/>
    <mergeCell ref="F87:G87"/>
    <mergeCell ref="H87:I87"/>
    <mergeCell ref="J87:K87"/>
    <mergeCell ref="B88:C88"/>
    <mergeCell ref="D88:E88"/>
    <mergeCell ref="F88:G88"/>
    <mergeCell ref="B89:C89"/>
    <mergeCell ref="D89:E89"/>
    <mergeCell ref="F89:G89"/>
    <mergeCell ref="D90:E90"/>
    <mergeCell ref="F90:G90"/>
    <mergeCell ref="H92:I92"/>
    <mergeCell ref="J92:K92"/>
    <mergeCell ref="H93:I93"/>
    <mergeCell ref="J93:K93"/>
    <mergeCell ref="D95:K95"/>
    <mergeCell ref="H96:K96"/>
    <mergeCell ref="B90:C90"/>
    <mergeCell ref="B91:C91"/>
    <mergeCell ref="D91:E91"/>
    <mergeCell ref="F91:G91"/>
    <mergeCell ref="H91:I91"/>
    <mergeCell ref="J91:K91"/>
    <mergeCell ref="B92:C92"/>
    <mergeCell ref="D97:E98"/>
    <mergeCell ref="F97:G98"/>
    <mergeCell ref="H97:I98"/>
    <mergeCell ref="J97:K98"/>
    <mergeCell ref="D92:E92"/>
    <mergeCell ref="F92:G92"/>
    <mergeCell ref="A93:C93"/>
    <mergeCell ref="D93:E93"/>
    <mergeCell ref="F93:G93"/>
    <mergeCell ref="A95:C98"/>
    <mergeCell ref="D96:G96"/>
    <mergeCell ref="H106:I106"/>
    <mergeCell ref="J106:K106"/>
    <mergeCell ref="H107:I107"/>
    <mergeCell ref="J107:K107"/>
    <mergeCell ref="H108:I108"/>
    <mergeCell ref="J108:K108"/>
    <mergeCell ref="D106:E106"/>
    <mergeCell ref="F106:G106"/>
    <mergeCell ref="B107:C107"/>
    <mergeCell ref="D107:E107"/>
    <mergeCell ref="F107:G107"/>
    <mergeCell ref="D108:E108"/>
    <mergeCell ref="F108:G108"/>
    <mergeCell ref="H115:I115"/>
    <mergeCell ref="H116:I116"/>
    <mergeCell ref="D114:E114"/>
    <mergeCell ref="F114:G114"/>
    <mergeCell ref="B115:C115"/>
    <mergeCell ref="D115:E115"/>
    <mergeCell ref="J115:K115"/>
    <mergeCell ref="D116:E116"/>
    <mergeCell ref="J116:K11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142</v>
      </c>
      <c r="B1" s="35" t="s">
        <v>143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144</v>
      </c>
      <c r="B6" s="5"/>
      <c r="C6" s="6"/>
      <c r="D6" s="23" t="s">
        <v>145</v>
      </c>
      <c r="E6" s="5"/>
      <c r="F6" s="5"/>
      <c r="G6" s="5"/>
      <c r="H6" s="5"/>
      <c r="I6" s="6"/>
      <c r="J6" s="23" t="s">
        <v>146</v>
      </c>
      <c r="K6" s="6"/>
    </row>
    <row r="7" ht="15.0" customHeight="1">
      <c r="A7" s="19"/>
      <c r="C7" s="20"/>
      <c r="D7" s="10"/>
      <c r="E7" s="11"/>
      <c r="F7" s="11"/>
      <c r="G7" s="11"/>
      <c r="H7" s="11"/>
      <c r="I7" s="12"/>
      <c r="J7" s="19"/>
      <c r="K7" s="20"/>
    </row>
    <row r="8">
      <c r="A8" s="19"/>
      <c r="C8" s="20"/>
      <c r="D8" s="23" t="s">
        <v>147</v>
      </c>
      <c r="E8" s="6"/>
      <c r="F8" s="23" t="s">
        <v>148</v>
      </c>
      <c r="G8" s="6"/>
      <c r="H8" s="23" t="s">
        <v>149</v>
      </c>
      <c r="I8" s="6"/>
      <c r="J8" s="19"/>
      <c r="K8" s="20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36" t="s">
        <v>32</v>
      </c>
      <c r="E10" s="9"/>
      <c r="F10" s="36" t="s">
        <v>33</v>
      </c>
      <c r="G10" s="9"/>
      <c r="H10" s="36" t="s">
        <v>34</v>
      </c>
      <c r="I10" s="9"/>
      <c r="J10" s="36" t="s">
        <v>73</v>
      </c>
      <c r="K10" s="9"/>
    </row>
    <row r="11" ht="15.0" customHeight="1">
      <c r="A11" s="16" t="s">
        <v>11</v>
      </c>
      <c r="B11" s="17" t="s">
        <v>12</v>
      </c>
      <c r="C11" s="9"/>
      <c r="D11" s="30">
        <v>3351.0</v>
      </c>
      <c r="E11" s="9"/>
      <c r="F11" s="33">
        <v>3202.0</v>
      </c>
      <c r="G11" s="9"/>
      <c r="H11" s="33">
        <v>6553.0</v>
      </c>
      <c r="I11" s="9"/>
      <c r="J11" s="33">
        <v>46.37</v>
      </c>
      <c r="K11" s="9"/>
    </row>
    <row r="12" ht="15.0" customHeight="1">
      <c r="A12" s="16" t="s">
        <v>13</v>
      </c>
      <c r="B12" s="17" t="s">
        <v>14</v>
      </c>
      <c r="C12" s="9"/>
      <c r="D12" s="30">
        <v>3418.0</v>
      </c>
      <c r="E12" s="9"/>
      <c r="F12" s="33">
        <v>3165.0</v>
      </c>
      <c r="G12" s="9"/>
      <c r="H12" s="33">
        <v>6583.0</v>
      </c>
      <c r="I12" s="9"/>
      <c r="J12" s="33">
        <v>46.99</v>
      </c>
      <c r="K12" s="9"/>
    </row>
    <row r="13" ht="15.0" customHeight="1">
      <c r="A13" s="16" t="s">
        <v>15</v>
      </c>
      <c r="B13" s="17" t="s">
        <v>16</v>
      </c>
      <c r="C13" s="9"/>
      <c r="D13" s="30">
        <v>1599.0</v>
      </c>
      <c r="E13" s="9"/>
      <c r="F13" s="33">
        <v>1536.0</v>
      </c>
      <c r="G13" s="9"/>
      <c r="H13" s="33">
        <v>3135.0</v>
      </c>
      <c r="I13" s="9"/>
      <c r="J13" s="33">
        <v>45.1</v>
      </c>
      <c r="K13" s="9"/>
    </row>
    <row r="14" ht="15.0" customHeight="1">
      <c r="A14" s="16" t="s">
        <v>17</v>
      </c>
      <c r="B14" s="17" t="s">
        <v>18</v>
      </c>
      <c r="C14" s="9"/>
      <c r="D14" s="30">
        <v>1270.0</v>
      </c>
      <c r="E14" s="9"/>
      <c r="F14" s="33">
        <v>1187.0</v>
      </c>
      <c r="G14" s="9"/>
      <c r="H14" s="33">
        <v>2457.0</v>
      </c>
      <c r="I14" s="9"/>
      <c r="J14" s="33">
        <v>46.29</v>
      </c>
      <c r="K14" s="9"/>
    </row>
    <row r="15" ht="15.0" customHeight="1">
      <c r="A15" s="16" t="s">
        <v>19</v>
      </c>
      <c r="B15" s="17" t="s">
        <v>20</v>
      </c>
      <c r="C15" s="9"/>
      <c r="D15" s="30">
        <v>1626.0</v>
      </c>
      <c r="E15" s="9"/>
      <c r="F15" s="33">
        <v>1594.0</v>
      </c>
      <c r="G15" s="9"/>
      <c r="H15" s="33">
        <v>3220.0</v>
      </c>
      <c r="I15" s="9"/>
      <c r="J15" s="33">
        <v>44.16</v>
      </c>
      <c r="K15" s="9"/>
    </row>
    <row r="16">
      <c r="A16" s="16" t="s">
        <v>21</v>
      </c>
      <c r="B16" s="17" t="s">
        <v>22</v>
      </c>
      <c r="C16" s="9"/>
      <c r="D16" s="30">
        <v>1881.0</v>
      </c>
      <c r="E16" s="9"/>
      <c r="F16" s="33">
        <v>1881.0</v>
      </c>
      <c r="G16" s="9"/>
      <c r="H16" s="33">
        <v>3762.0</v>
      </c>
      <c r="I16" s="9"/>
      <c r="J16" s="33">
        <v>43.33</v>
      </c>
      <c r="K16" s="9"/>
    </row>
    <row r="17" ht="15.0" customHeight="1">
      <c r="A17" s="16" t="s">
        <v>23</v>
      </c>
      <c r="B17" s="17" t="s">
        <v>24</v>
      </c>
      <c r="C17" s="9"/>
      <c r="D17" s="33">
        <v>936.0</v>
      </c>
      <c r="E17" s="9"/>
      <c r="F17" s="33">
        <v>867.0</v>
      </c>
      <c r="G17" s="9"/>
      <c r="H17" s="33">
        <v>1803.0</v>
      </c>
      <c r="I17" s="9"/>
      <c r="J17" s="33">
        <v>45.01</v>
      </c>
      <c r="K17" s="9"/>
    </row>
    <row r="18" ht="15.0" customHeight="1">
      <c r="A18" s="16" t="s">
        <v>25</v>
      </c>
      <c r="B18" s="17" t="s">
        <v>26</v>
      </c>
      <c r="C18" s="9"/>
      <c r="D18" s="30">
        <v>1256.0</v>
      </c>
      <c r="E18" s="9"/>
      <c r="F18" s="33">
        <v>1193.0</v>
      </c>
      <c r="G18" s="9"/>
      <c r="H18" s="33">
        <v>2449.0</v>
      </c>
      <c r="I18" s="9"/>
      <c r="J18" s="33">
        <v>45.92</v>
      </c>
      <c r="K18" s="9"/>
    </row>
    <row r="19">
      <c r="A19" s="7" t="s">
        <v>27</v>
      </c>
      <c r="B19" s="8"/>
      <c r="C19" s="9"/>
      <c r="D19" s="30">
        <v>15337.0</v>
      </c>
      <c r="E19" s="9"/>
      <c r="F19" s="33">
        <v>14625.0</v>
      </c>
      <c r="G19" s="9"/>
      <c r="H19" s="33">
        <v>29962.0</v>
      </c>
      <c r="I19" s="9"/>
      <c r="J19" s="33">
        <v>45.6</v>
      </c>
      <c r="K19" s="9"/>
    </row>
    <row r="21" ht="15.75" customHeight="1">
      <c r="A21" s="4" t="s">
        <v>150</v>
      </c>
      <c r="B21" s="5"/>
      <c r="C21" s="6"/>
      <c r="D21" s="23" t="s">
        <v>151</v>
      </c>
      <c r="E21" s="5"/>
      <c r="F21" s="5"/>
      <c r="G21" s="5"/>
      <c r="H21" s="5"/>
      <c r="I21" s="6"/>
      <c r="J21" s="23" t="s">
        <v>152</v>
      </c>
      <c r="K21" s="6"/>
    </row>
    <row r="22" ht="15.75" customHeight="1">
      <c r="A22" s="19"/>
      <c r="C22" s="20"/>
      <c r="D22" s="10"/>
      <c r="E22" s="11"/>
      <c r="F22" s="11"/>
      <c r="G22" s="11"/>
      <c r="H22" s="11"/>
      <c r="I22" s="12"/>
      <c r="J22" s="19"/>
      <c r="K22" s="20"/>
    </row>
    <row r="23" ht="15.75" customHeight="1">
      <c r="A23" s="19"/>
      <c r="C23" s="20"/>
      <c r="D23" s="23" t="s">
        <v>153</v>
      </c>
      <c r="E23" s="6"/>
      <c r="F23" s="23" t="s">
        <v>154</v>
      </c>
      <c r="G23" s="6"/>
      <c r="H23" s="23" t="s">
        <v>155</v>
      </c>
      <c r="I23" s="6"/>
      <c r="J23" s="19"/>
      <c r="K23" s="20"/>
    </row>
    <row r="24" ht="15.75" customHeight="1">
      <c r="A24" s="10"/>
      <c r="B24" s="11"/>
      <c r="C24" s="12"/>
      <c r="D24" s="10"/>
      <c r="E24" s="12"/>
      <c r="F24" s="10"/>
      <c r="G24" s="12"/>
      <c r="H24" s="10"/>
      <c r="I24" s="12"/>
      <c r="J24" s="10"/>
      <c r="K24" s="12"/>
    </row>
    <row r="25" ht="15.75" customHeight="1">
      <c r="A25" s="14" t="s">
        <v>7</v>
      </c>
      <c r="B25" s="8"/>
      <c r="C25" s="9"/>
      <c r="D25" s="36" t="s">
        <v>32</v>
      </c>
      <c r="E25" s="9"/>
      <c r="F25" s="36" t="s">
        <v>33</v>
      </c>
      <c r="G25" s="9"/>
      <c r="H25" s="36" t="s">
        <v>34</v>
      </c>
      <c r="I25" s="9"/>
      <c r="J25" s="36" t="s">
        <v>73</v>
      </c>
      <c r="K25" s="9"/>
    </row>
    <row r="26" ht="15.0" customHeight="1">
      <c r="A26" s="16" t="s">
        <v>11</v>
      </c>
      <c r="B26" s="17" t="s">
        <v>12</v>
      </c>
      <c r="C26" s="9"/>
      <c r="D26" s="33">
        <v>3833.0</v>
      </c>
      <c r="E26" s="9"/>
      <c r="F26" s="33">
        <v>3747.0</v>
      </c>
      <c r="G26" s="9"/>
      <c r="H26" s="33">
        <v>7580.0</v>
      </c>
      <c r="I26" s="9"/>
      <c r="J26" s="33">
        <v>53.63</v>
      </c>
      <c r="K26" s="9"/>
    </row>
    <row r="27" ht="15.0" customHeight="1">
      <c r="A27" s="16" t="s">
        <v>13</v>
      </c>
      <c r="B27" s="17" t="s">
        <v>14</v>
      </c>
      <c r="C27" s="9"/>
      <c r="D27" s="33">
        <v>3729.0</v>
      </c>
      <c r="E27" s="9"/>
      <c r="F27" s="33">
        <v>3696.0</v>
      </c>
      <c r="G27" s="9"/>
      <c r="H27" s="33">
        <v>7425.0</v>
      </c>
      <c r="I27" s="9"/>
      <c r="J27" s="33">
        <v>53.01</v>
      </c>
      <c r="K27" s="9"/>
    </row>
    <row r="28" ht="15.0" customHeight="1">
      <c r="A28" s="16" t="s">
        <v>15</v>
      </c>
      <c r="B28" s="17" t="s">
        <v>16</v>
      </c>
      <c r="C28" s="9"/>
      <c r="D28" s="33">
        <v>1882.0</v>
      </c>
      <c r="E28" s="9"/>
      <c r="F28" s="33">
        <v>1934.0</v>
      </c>
      <c r="G28" s="9"/>
      <c r="H28" s="33">
        <v>3816.0</v>
      </c>
      <c r="I28" s="9"/>
      <c r="J28" s="33">
        <v>54.9</v>
      </c>
      <c r="K28" s="9"/>
    </row>
    <row r="29" ht="15.0" customHeight="1">
      <c r="A29" s="16" t="s">
        <v>17</v>
      </c>
      <c r="B29" s="17" t="s">
        <v>18</v>
      </c>
      <c r="C29" s="9"/>
      <c r="D29" s="33">
        <v>1431.0</v>
      </c>
      <c r="E29" s="9"/>
      <c r="F29" s="33">
        <v>1420.0</v>
      </c>
      <c r="G29" s="9"/>
      <c r="H29" s="33">
        <v>2851.0</v>
      </c>
      <c r="I29" s="9"/>
      <c r="J29" s="33">
        <v>53.71</v>
      </c>
      <c r="K29" s="9"/>
    </row>
    <row r="30" ht="15.0" customHeight="1">
      <c r="A30" s="16" t="s">
        <v>19</v>
      </c>
      <c r="B30" s="17" t="s">
        <v>20</v>
      </c>
      <c r="C30" s="9"/>
      <c r="D30" s="33">
        <v>2047.0</v>
      </c>
      <c r="E30" s="9"/>
      <c r="F30" s="33">
        <v>2024.0</v>
      </c>
      <c r="G30" s="9"/>
      <c r="H30" s="33">
        <v>4071.0</v>
      </c>
      <c r="I30" s="9"/>
      <c r="J30" s="33">
        <v>55.84</v>
      </c>
      <c r="K30" s="9"/>
    </row>
    <row r="31" ht="15.75" customHeight="1">
      <c r="A31" s="16" t="s">
        <v>21</v>
      </c>
      <c r="B31" s="17" t="s">
        <v>22</v>
      </c>
      <c r="C31" s="9"/>
      <c r="D31" s="33">
        <v>2407.0</v>
      </c>
      <c r="E31" s="9"/>
      <c r="F31" s="33">
        <v>2514.0</v>
      </c>
      <c r="G31" s="9"/>
      <c r="H31" s="33">
        <v>4921.0</v>
      </c>
      <c r="I31" s="9"/>
      <c r="J31" s="33">
        <v>56.67</v>
      </c>
      <c r="K31" s="9"/>
    </row>
    <row r="32" ht="15.0" customHeight="1">
      <c r="A32" s="16" t="s">
        <v>23</v>
      </c>
      <c r="B32" s="17" t="s">
        <v>24</v>
      </c>
      <c r="C32" s="9"/>
      <c r="D32" s="33">
        <v>1131.0</v>
      </c>
      <c r="E32" s="9"/>
      <c r="F32" s="33">
        <v>1072.0</v>
      </c>
      <c r="G32" s="9"/>
      <c r="H32" s="33">
        <v>2203.0</v>
      </c>
      <c r="I32" s="9"/>
      <c r="J32" s="33">
        <v>54.99</v>
      </c>
      <c r="K32" s="9"/>
    </row>
    <row r="33" ht="15.0" customHeight="1">
      <c r="A33" s="16" t="s">
        <v>25</v>
      </c>
      <c r="B33" s="17" t="s">
        <v>26</v>
      </c>
      <c r="C33" s="9"/>
      <c r="D33" s="33">
        <v>1468.0</v>
      </c>
      <c r="E33" s="9"/>
      <c r="F33" s="33">
        <v>1416.0</v>
      </c>
      <c r="G33" s="9"/>
      <c r="H33" s="33">
        <v>2884.0</v>
      </c>
      <c r="I33" s="9"/>
      <c r="J33" s="33">
        <v>54.08</v>
      </c>
      <c r="K33" s="9"/>
    </row>
    <row r="34" ht="15.75" customHeight="1">
      <c r="A34" s="7" t="s">
        <v>27</v>
      </c>
      <c r="B34" s="8"/>
      <c r="C34" s="9"/>
      <c r="D34" s="33">
        <v>17928.0</v>
      </c>
      <c r="E34" s="9"/>
      <c r="F34" s="33">
        <v>17823.0</v>
      </c>
      <c r="G34" s="9"/>
      <c r="H34" s="33">
        <v>35751.0</v>
      </c>
      <c r="I34" s="9"/>
      <c r="J34" s="33">
        <v>54.4</v>
      </c>
      <c r="K34" s="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D25:E25"/>
    <mergeCell ref="F25:G25"/>
    <mergeCell ref="H25:I25"/>
    <mergeCell ref="J25:K25"/>
    <mergeCell ref="F26:G26"/>
    <mergeCell ref="H26:I26"/>
    <mergeCell ref="J26:K26"/>
    <mergeCell ref="D26:E26"/>
    <mergeCell ref="D27:E27"/>
    <mergeCell ref="F27:G27"/>
    <mergeCell ref="H27:I27"/>
    <mergeCell ref="J27:K27"/>
    <mergeCell ref="D28:E28"/>
    <mergeCell ref="F28:G28"/>
    <mergeCell ref="B31:C31"/>
    <mergeCell ref="B32:C32"/>
    <mergeCell ref="B33:C33"/>
    <mergeCell ref="A34:C34"/>
    <mergeCell ref="A21:C24"/>
    <mergeCell ref="A25:C25"/>
    <mergeCell ref="B26:C26"/>
    <mergeCell ref="B27:C27"/>
    <mergeCell ref="B28:C28"/>
    <mergeCell ref="B29:C29"/>
    <mergeCell ref="B30:C30"/>
    <mergeCell ref="D29:E29"/>
    <mergeCell ref="F29:G29"/>
    <mergeCell ref="H29:I29"/>
    <mergeCell ref="J29:K29"/>
    <mergeCell ref="F30:G30"/>
    <mergeCell ref="H30:I30"/>
    <mergeCell ref="J30:K30"/>
    <mergeCell ref="D30:E30"/>
    <mergeCell ref="D31:E31"/>
    <mergeCell ref="F31:G31"/>
    <mergeCell ref="H31:I31"/>
    <mergeCell ref="J31:K31"/>
    <mergeCell ref="D32:E32"/>
    <mergeCell ref="F32:G32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B18:C18"/>
    <mergeCell ref="D18:E18"/>
    <mergeCell ref="F18:G18"/>
    <mergeCell ref="H18:I18"/>
    <mergeCell ref="J18:K18"/>
    <mergeCell ref="A19:C19"/>
    <mergeCell ref="D19:E19"/>
    <mergeCell ref="J19:K19"/>
    <mergeCell ref="F19:G19"/>
    <mergeCell ref="H19:I19"/>
    <mergeCell ref="D21:I22"/>
    <mergeCell ref="J21:K24"/>
    <mergeCell ref="D23:E24"/>
    <mergeCell ref="F23:G24"/>
    <mergeCell ref="H23:I24"/>
    <mergeCell ref="H28:I28"/>
    <mergeCell ref="J28:K28"/>
    <mergeCell ref="H32:I32"/>
    <mergeCell ref="J32:K32"/>
    <mergeCell ref="D33:E33"/>
    <mergeCell ref="F33:G33"/>
    <mergeCell ref="H33:I33"/>
    <mergeCell ref="J33:K33"/>
    <mergeCell ref="D34:E34"/>
    <mergeCell ref="F34:G34"/>
    <mergeCell ref="H34:I34"/>
    <mergeCell ref="J34:K3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156</v>
      </c>
      <c r="B1" s="35" t="s">
        <v>157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158</v>
      </c>
      <c r="B6" s="5"/>
      <c r="C6" s="6"/>
      <c r="D6" s="23" t="s">
        <v>159</v>
      </c>
      <c r="E6" s="6"/>
      <c r="F6" s="23" t="s">
        <v>160</v>
      </c>
      <c r="G6" s="6"/>
      <c r="H6" s="23" t="s">
        <v>161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6" t="s">
        <v>8</v>
      </c>
      <c r="E8" s="9"/>
      <c r="F8" s="36" t="s">
        <v>9</v>
      </c>
      <c r="G8" s="9"/>
      <c r="H8" s="36" t="s">
        <v>10</v>
      </c>
      <c r="I8" s="9"/>
    </row>
    <row r="9" ht="15.0" customHeight="1">
      <c r="A9" s="16" t="s">
        <v>11</v>
      </c>
      <c r="B9" s="17" t="s">
        <v>12</v>
      </c>
      <c r="C9" s="9"/>
      <c r="D9" s="33">
        <v>426.0</v>
      </c>
      <c r="E9" s="9"/>
      <c r="F9" s="33">
        <v>299.0</v>
      </c>
      <c r="G9" s="9"/>
      <c r="H9" s="33">
        <v>725.0</v>
      </c>
      <c r="I9" s="9"/>
    </row>
    <row r="10" ht="15.0" customHeight="1">
      <c r="A10" s="16" t="s">
        <v>13</v>
      </c>
      <c r="B10" s="17" t="s">
        <v>14</v>
      </c>
      <c r="C10" s="9"/>
      <c r="D10" s="33">
        <v>396.0</v>
      </c>
      <c r="E10" s="9"/>
      <c r="F10" s="33">
        <v>260.0</v>
      </c>
      <c r="G10" s="9"/>
      <c r="H10" s="33">
        <v>656.0</v>
      </c>
      <c r="I10" s="9"/>
    </row>
    <row r="11" ht="15.0" customHeight="1">
      <c r="A11" s="16" t="s">
        <v>15</v>
      </c>
      <c r="B11" s="17" t="s">
        <v>16</v>
      </c>
      <c r="C11" s="9"/>
      <c r="D11" s="33">
        <v>273.0</v>
      </c>
      <c r="E11" s="9"/>
      <c r="F11" s="33">
        <v>186.0</v>
      </c>
      <c r="G11" s="9"/>
      <c r="H11" s="33">
        <v>459.0</v>
      </c>
      <c r="I11" s="9"/>
    </row>
    <row r="12" ht="15.0" customHeight="1">
      <c r="A12" s="16" t="s">
        <v>17</v>
      </c>
      <c r="B12" s="17" t="s">
        <v>18</v>
      </c>
      <c r="C12" s="9"/>
      <c r="D12" s="33">
        <v>123.0</v>
      </c>
      <c r="E12" s="9"/>
      <c r="F12" s="33">
        <v>105.0</v>
      </c>
      <c r="G12" s="9"/>
      <c r="H12" s="33">
        <v>228.0</v>
      </c>
      <c r="I12" s="9"/>
    </row>
    <row r="13" ht="15.0" customHeight="1">
      <c r="A13" s="16" t="s">
        <v>19</v>
      </c>
      <c r="B13" s="17" t="s">
        <v>20</v>
      </c>
      <c r="C13" s="9"/>
      <c r="D13" s="33">
        <v>192.0</v>
      </c>
      <c r="E13" s="9"/>
      <c r="F13" s="33">
        <v>144.0</v>
      </c>
      <c r="G13" s="9"/>
      <c r="H13" s="33">
        <v>336.0</v>
      </c>
      <c r="I13" s="9"/>
    </row>
    <row r="14">
      <c r="A14" s="16" t="s">
        <v>21</v>
      </c>
      <c r="B14" s="17" t="s">
        <v>22</v>
      </c>
      <c r="C14" s="9"/>
      <c r="D14" s="33">
        <v>254.0</v>
      </c>
      <c r="E14" s="9"/>
      <c r="F14" s="33">
        <v>161.0</v>
      </c>
      <c r="G14" s="9"/>
      <c r="H14" s="33">
        <v>415.0</v>
      </c>
      <c r="I14" s="9"/>
    </row>
    <row r="15" ht="15.0" customHeight="1">
      <c r="A15" s="16" t="s">
        <v>23</v>
      </c>
      <c r="B15" s="17" t="s">
        <v>24</v>
      </c>
      <c r="C15" s="9"/>
      <c r="D15" s="33">
        <v>128.0</v>
      </c>
      <c r="E15" s="9"/>
      <c r="F15" s="33">
        <v>148.0</v>
      </c>
      <c r="G15" s="9"/>
      <c r="H15" s="33">
        <v>276.0</v>
      </c>
      <c r="I15" s="9"/>
    </row>
    <row r="16" ht="15.0" customHeight="1">
      <c r="A16" s="16" t="s">
        <v>25</v>
      </c>
      <c r="B16" s="17" t="s">
        <v>26</v>
      </c>
      <c r="C16" s="9"/>
      <c r="D16" s="33">
        <v>136.0</v>
      </c>
      <c r="E16" s="9"/>
      <c r="F16" s="33">
        <v>108.0</v>
      </c>
      <c r="G16" s="9"/>
      <c r="H16" s="33">
        <v>244.0</v>
      </c>
      <c r="I16" s="9"/>
    </row>
    <row r="17">
      <c r="A17" s="7" t="s">
        <v>162</v>
      </c>
      <c r="B17" s="8"/>
      <c r="C17" s="9"/>
      <c r="D17" s="30">
        <v>1929.0</v>
      </c>
      <c r="E17" s="9"/>
      <c r="F17" s="30">
        <v>1411.0</v>
      </c>
      <c r="G17" s="9"/>
      <c r="H17" s="30">
        <v>3340.0</v>
      </c>
      <c r="I1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F11:G11"/>
    <mergeCell ref="F12:G12"/>
    <mergeCell ref="B10:C10"/>
    <mergeCell ref="B11:C11"/>
    <mergeCell ref="B12:C12"/>
    <mergeCell ref="D10:E10"/>
    <mergeCell ref="D11:E11"/>
    <mergeCell ref="D12:E12"/>
    <mergeCell ref="F10:G10"/>
    <mergeCell ref="F9:G9"/>
    <mergeCell ref="H9:I9"/>
    <mergeCell ref="F8:G8"/>
    <mergeCell ref="H8:I8"/>
    <mergeCell ref="H10:I10"/>
    <mergeCell ref="H11:I11"/>
    <mergeCell ref="H12:I12"/>
    <mergeCell ref="B1:I5"/>
    <mergeCell ref="A6:C7"/>
    <mergeCell ref="D6:E7"/>
    <mergeCell ref="F6:G7"/>
    <mergeCell ref="H6:I7"/>
    <mergeCell ref="A8:C8"/>
    <mergeCell ref="D8:E8"/>
    <mergeCell ref="B9:C9"/>
    <mergeCell ref="A17:C17"/>
    <mergeCell ref="D9:E9"/>
    <mergeCell ref="D17:E17"/>
    <mergeCell ref="F17:G17"/>
    <mergeCell ref="H17:I17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4" max="4" width="23.29"/>
    <col customWidth="1" min="5" max="5" width="19.29"/>
    <col customWidth="1" min="9" max="9" width="10.57"/>
  </cols>
  <sheetData>
    <row r="1">
      <c r="A1" s="38" t="s">
        <v>163</v>
      </c>
      <c r="B1" s="39" t="s">
        <v>164</v>
      </c>
    </row>
    <row r="2">
      <c r="A2" s="38"/>
    </row>
    <row r="3">
      <c r="A3" s="38"/>
    </row>
    <row r="4" ht="2.25" customHeight="1">
      <c r="A4" s="38"/>
    </row>
    <row r="5" ht="3.75" customHeight="1">
      <c r="A5" s="38"/>
      <c r="B5" s="11"/>
      <c r="C5" s="11"/>
      <c r="D5" s="11"/>
      <c r="E5" s="11"/>
      <c r="F5" s="11"/>
      <c r="G5" s="11"/>
      <c r="H5" s="11"/>
      <c r="I5" s="11"/>
    </row>
    <row r="6">
      <c r="A6" s="40" t="s">
        <v>165</v>
      </c>
      <c r="B6" s="5"/>
      <c r="C6" s="6"/>
      <c r="D6" s="41" t="s">
        <v>166</v>
      </c>
      <c r="E6" s="6"/>
      <c r="F6" s="40" t="s">
        <v>167</v>
      </c>
      <c r="G6" s="6"/>
      <c r="H6" s="40" t="s">
        <v>168</v>
      </c>
      <c r="I6" s="6"/>
    </row>
    <row r="7">
      <c r="A7" s="10"/>
      <c r="B7" s="11"/>
      <c r="C7" s="12"/>
      <c r="D7" s="10"/>
      <c r="E7" s="12"/>
      <c r="F7" s="10"/>
      <c r="G7" s="12"/>
      <c r="H7" s="19"/>
      <c r="I7" s="20"/>
    </row>
    <row r="8">
      <c r="A8" s="42" t="s">
        <v>7</v>
      </c>
      <c r="B8" s="8"/>
      <c r="C8" s="9"/>
      <c r="D8" s="42" t="s">
        <v>8</v>
      </c>
      <c r="E8" s="9"/>
      <c r="F8" s="42" t="s">
        <v>9</v>
      </c>
      <c r="G8" s="9"/>
      <c r="H8" s="43" t="s">
        <v>10</v>
      </c>
      <c r="I8" s="9"/>
    </row>
    <row r="9">
      <c r="A9" s="16" t="s">
        <v>11</v>
      </c>
      <c r="B9" s="17" t="s">
        <v>12</v>
      </c>
      <c r="C9" s="9"/>
      <c r="D9" s="44">
        <v>10422.0</v>
      </c>
      <c r="E9" s="9"/>
      <c r="F9" s="44">
        <v>10338.0</v>
      </c>
      <c r="G9" s="9"/>
      <c r="H9" s="45">
        <v>99.19</v>
      </c>
      <c r="I9" s="12"/>
    </row>
    <row r="10">
      <c r="A10" s="16" t="s">
        <v>13</v>
      </c>
      <c r="B10" s="17" t="s">
        <v>14</v>
      </c>
      <c r="C10" s="9"/>
      <c r="D10" s="44">
        <v>10159.0</v>
      </c>
      <c r="E10" s="9"/>
      <c r="F10" s="44">
        <v>10083.0</v>
      </c>
      <c r="G10" s="9"/>
      <c r="H10" s="46">
        <v>99.25</v>
      </c>
      <c r="I10" s="9"/>
    </row>
    <row r="11">
      <c r="A11" s="16" t="s">
        <v>15</v>
      </c>
      <c r="B11" s="17" t="s">
        <v>16</v>
      </c>
      <c r="C11" s="9"/>
      <c r="D11" s="44">
        <v>5252.0</v>
      </c>
      <c r="E11" s="9"/>
      <c r="F11" s="44">
        <v>5230.0</v>
      </c>
      <c r="G11" s="9"/>
      <c r="H11" s="47">
        <v>99.58</v>
      </c>
      <c r="I11" s="12"/>
    </row>
    <row r="12">
      <c r="A12" s="16" t="s">
        <v>17</v>
      </c>
      <c r="B12" s="17" t="s">
        <v>18</v>
      </c>
      <c r="C12" s="9"/>
      <c r="D12" s="44">
        <v>3888.0</v>
      </c>
      <c r="E12" s="9"/>
      <c r="F12" s="44">
        <v>3859.0</v>
      </c>
      <c r="G12" s="9"/>
      <c r="H12" s="48">
        <v>99.25</v>
      </c>
      <c r="I12" s="9"/>
    </row>
    <row r="13">
      <c r="A13" s="16" t="s">
        <v>19</v>
      </c>
      <c r="B13" s="17" t="s">
        <v>20</v>
      </c>
      <c r="C13" s="9"/>
      <c r="D13" s="44">
        <v>5440.0</v>
      </c>
      <c r="E13" s="9"/>
      <c r="F13" s="44">
        <v>5395.0</v>
      </c>
      <c r="G13" s="9"/>
      <c r="H13" s="48">
        <v>99.17</v>
      </c>
      <c r="I13" s="9"/>
    </row>
    <row r="14">
      <c r="A14" s="16" t="s">
        <v>21</v>
      </c>
      <c r="B14" s="17" t="s">
        <v>22</v>
      </c>
      <c r="C14" s="9"/>
      <c r="D14" s="44">
        <v>6568.0</v>
      </c>
      <c r="E14" s="9"/>
      <c r="F14" s="44">
        <v>6516.0</v>
      </c>
      <c r="G14" s="9"/>
      <c r="H14" s="48">
        <v>99.21</v>
      </c>
      <c r="I14" s="9"/>
    </row>
    <row r="15">
      <c r="A15" s="16" t="s">
        <v>23</v>
      </c>
      <c r="B15" s="17" t="s">
        <v>24</v>
      </c>
      <c r="C15" s="9"/>
      <c r="D15" s="44">
        <v>2984.0</v>
      </c>
      <c r="E15" s="9"/>
      <c r="F15" s="44">
        <v>2958.0</v>
      </c>
      <c r="G15" s="9"/>
      <c r="H15" s="48">
        <v>99.13</v>
      </c>
      <c r="I15" s="9"/>
    </row>
    <row r="16">
      <c r="A16" s="16" t="s">
        <v>25</v>
      </c>
      <c r="B16" s="17" t="s">
        <v>26</v>
      </c>
      <c r="C16" s="9"/>
      <c r="D16" s="44">
        <v>3895.0</v>
      </c>
      <c r="E16" s="9"/>
      <c r="F16" s="44">
        <v>3851.0</v>
      </c>
      <c r="G16" s="9"/>
      <c r="H16" s="48">
        <v>98.87</v>
      </c>
      <c r="I16" s="9"/>
    </row>
    <row r="17">
      <c r="A17" s="49" t="s">
        <v>169</v>
      </c>
      <c r="B17" s="8"/>
      <c r="C17" s="9"/>
      <c r="D17" s="44">
        <v>48608.0</v>
      </c>
      <c r="E17" s="9"/>
      <c r="F17" s="44">
        <v>48230.0</v>
      </c>
      <c r="G17" s="9"/>
      <c r="H17" s="48">
        <v>99.22</v>
      </c>
      <c r="I17" s="9"/>
    </row>
  </sheetData>
  <mergeCells count="45">
    <mergeCell ref="A17:C17"/>
    <mergeCell ref="D17:E17"/>
    <mergeCell ref="F17:G17"/>
    <mergeCell ref="F9:G9"/>
    <mergeCell ref="H9:I9"/>
    <mergeCell ref="B1:I5"/>
    <mergeCell ref="A6:C7"/>
    <mergeCell ref="D6:E7"/>
    <mergeCell ref="F6:G7"/>
    <mergeCell ref="H6:I7"/>
    <mergeCell ref="A8:C8"/>
    <mergeCell ref="D8:E8"/>
    <mergeCell ref="B13:C13"/>
    <mergeCell ref="B14:C14"/>
    <mergeCell ref="D13:E13"/>
    <mergeCell ref="D14:E14"/>
    <mergeCell ref="F13:G13"/>
    <mergeCell ref="F14:G14"/>
    <mergeCell ref="B15:C15"/>
    <mergeCell ref="B16:C16"/>
    <mergeCell ref="D15:E15"/>
    <mergeCell ref="D16:E16"/>
    <mergeCell ref="F15:G15"/>
    <mergeCell ref="F16:G16"/>
    <mergeCell ref="B9:C9"/>
    <mergeCell ref="D9:E9"/>
    <mergeCell ref="F11:G11"/>
    <mergeCell ref="F12:G12"/>
    <mergeCell ref="B10:C10"/>
    <mergeCell ref="B11:C11"/>
    <mergeCell ref="B12:C12"/>
    <mergeCell ref="D10:E10"/>
    <mergeCell ref="D11:E11"/>
    <mergeCell ref="D12:E12"/>
    <mergeCell ref="F10:G10"/>
    <mergeCell ref="H15:I15"/>
    <mergeCell ref="H16:I16"/>
    <mergeCell ref="H17:I17"/>
    <mergeCell ref="H8:I8"/>
    <mergeCell ref="F8:G8"/>
    <mergeCell ref="H10:I10"/>
    <mergeCell ref="H11:I11"/>
    <mergeCell ref="H12:I12"/>
    <mergeCell ref="H13:I13"/>
    <mergeCell ref="H14:I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 t="s">
        <v>170</v>
      </c>
      <c r="B1" s="50"/>
      <c r="C1" s="51" t="s">
        <v>171</v>
      </c>
      <c r="G1" s="38"/>
      <c r="H1" s="38"/>
      <c r="I1" s="38"/>
    </row>
    <row r="2">
      <c r="A2" s="38"/>
      <c r="B2" s="50"/>
      <c r="G2" s="38"/>
      <c r="H2" s="38"/>
      <c r="I2" s="38"/>
    </row>
    <row r="3">
      <c r="A3" s="52" t="s">
        <v>172</v>
      </c>
      <c r="B3" s="6"/>
      <c r="C3" s="53" t="s">
        <v>173</v>
      </c>
      <c r="D3" s="5"/>
      <c r="E3" s="6"/>
      <c r="F3" s="53" t="s">
        <v>174</v>
      </c>
      <c r="G3" s="5"/>
      <c r="H3" s="6"/>
      <c r="I3" s="54" t="s">
        <v>175</v>
      </c>
    </row>
    <row r="4">
      <c r="A4" s="19"/>
      <c r="B4" s="20"/>
      <c r="C4" s="10"/>
      <c r="D4" s="11"/>
      <c r="E4" s="12"/>
      <c r="F4" s="10"/>
      <c r="G4" s="11"/>
      <c r="H4" s="12"/>
      <c r="I4" s="55"/>
    </row>
    <row r="5">
      <c r="A5" s="19"/>
      <c r="B5" s="20"/>
      <c r="C5" s="56" t="s">
        <v>176</v>
      </c>
      <c r="D5" s="56" t="s">
        <v>177</v>
      </c>
      <c r="E5" s="57" t="s">
        <v>178</v>
      </c>
      <c r="F5" s="56" t="s">
        <v>179</v>
      </c>
      <c r="G5" s="56" t="s">
        <v>180</v>
      </c>
      <c r="H5" s="57" t="s">
        <v>181</v>
      </c>
      <c r="I5" s="55"/>
    </row>
    <row r="6">
      <c r="A6" s="10"/>
      <c r="B6" s="12"/>
      <c r="C6" s="10"/>
      <c r="D6" s="10"/>
      <c r="E6" s="58"/>
      <c r="F6" s="10"/>
      <c r="G6" s="10"/>
      <c r="H6" s="58"/>
      <c r="I6" s="58"/>
    </row>
    <row r="7">
      <c r="A7" s="59" t="s">
        <v>7</v>
      </c>
      <c r="B7" s="9"/>
      <c r="C7" s="60" t="s">
        <v>8</v>
      </c>
      <c r="D7" s="60" t="s">
        <v>9</v>
      </c>
      <c r="E7" s="60" t="s">
        <v>10</v>
      </c>
      <c r="F7" s="60" t="s">
        <v>8</v>
      </c>
      <c r="G7" s="60" t="s">
        <v>9</v>
      </c>
      <c r="H7" s="60" t="s">
        <v>10</v>
      </c>
      <c r="I7" s="61" t="s">
        <v>32</v>
      </c>
    </row>
    <row r="8">
      <c r="A8" s="62" t="s">
        <v>11</v>
      </c>
      <c r="B8" s="63" t="s">
        <v>12</v>
      </c>
      <c r="C8" s="64">
        <v>1.858</v>
      </c>
      <c r="D8" s="64">
        <v>1.802</v>
      </c>
      <c r="E8" s="64">
        <v>3.66</v>
      </c>
      <c r="F8" s="64">
        <v>970.0</v>
      </c>
      <c r="G8" s="64">
        <v>973.0</v>
      </c>
      <c r="H8" s="65">
        <v>1943.0</v>
      </c>
      <c r="I8" s="65" t="s">
        <v>182</v>
      </c>
    </row>
    <row r="9">
      <c r="A9" s="62" t="s">
        <v>13</v>
      </c>
      <c r="B9" s="63" t="s">
        <v>14</v>
      </c>
      <c r="C9" s="64">
        <v>1.986</v>
      </c>
      <c r="D9" s="64">
        <v>1.792</v>
      </c>
      <c r="E9" s="64">
        <v>3.778</v>
      </c>
      <c r="F9" s="64">
        <v>974.0</v>
      </c>
      <c r="G9" s="64">
        <v>922.0</v>
      </c>
      <c r="H9" s="65">
        <v>1896.0</v>
      </c>
      <c r="I9" s="65" t="s">
        <v>183</v>
      </c>
    </row>
    <row r="10">
      <c r="A10" s="62" t="s">
        <v>15</v>
      </c>
      <c r="B10" s="63" t="s">
        <v>16</v>
      </c>
      <c r="C10" s="64">
        <v>873.0</v>
      </c>
      <c r="D10" s="64">
        <v>803.0</v>
      </c>
      <c r="E10" s="64">
        <v>1.676</v>
      </c>
      <c r="F10" s="64">
        <v>636.0</v>
      </c>
      <c r="G10" s="64">
        <v>571.0</v>
      </c>
      <c r="H10" s="65">
        <v>1207.0</v>
      </c>
      <c r="I10" s="65" t="s">
        <v>184</v>
      </c>
    </row>
    <row r="11">
      <c r="A11" s="62" t="s">
        <v>17</v>
      </c>
      <c r="B11" s="63" t="s">
        <v>18</v>
      </c>
      <c r="C11" s="64">
        <v>726.0</v>
      </c>
      <c r="D11" s="64">
        <v>682.0</v>
      </c>
      <c r="E11" s="64">
        <v>1.408</v>
      </c>
      <c r="F11" s="64">
        <v>388.0</v>
      </c>
      <c r="G11" s="64">
        <v>393.0</v>
      </c>
      <c r="H11" s="65">
        <v>781.0</v>
      </c>
      <c r="I11" s="65" t="s">
        <v>185</v>
      </c>
    </row>
    <row r="12">
      <c r="A12" s="62" t="s">
        <v>19</v>
      </c>
      <c r="B12" s="63" t="s">
        <v>20</v>
      </c>
      <c r="C12" s="64">
        <v>927.0</v>
      </c>
      <c r="D12" s="64">
        <v>889.0</v>
      </c>
      <c r="E12" s="64">
        <v>1.816</v>
      </c>
      <c r="F12" s="64">
        <v>516.0</v>
      </c>
      <c r="G12" s="64">
        <v>522.0</v>
      </c>
      <c r="H12" s="65">
        <v>1038.0</v>
      </c>
      <c r="I12" s="65" t="s">
        <v>186</v>
      </c>
    </row>
    <row r="13">
      <c r="A13" s="62" t="s">
        <v>21</v>
      </c>
      <c r="B13" s="63" t="s">
        <v>22</v>
      </c>
      <c r="C13" s="64">
        <v>1.053</v>
      </c>
      <c r="D13" s="64">
        <v>1.045</v>
      </c>
      <c r="E13" s="64">
        <v>2.098</v>
      </c>
      <c r="F13" s="64">
        <v>562.0</v>
      </c>
      <c r="G13" s="64">
        <v>548.0</v>
      </c>
      <c r="H13" s="65">
        <v>1110.0</v>
      </c>
      <c r="I13" s="65" t="s">
        <v>187</v>
      </c>
    </row>
    <row r="14">
      <c r="A14" s="62" t="s">
        <v>23</v>
      </c>
      <c r="B14" s="63" t="s">
        <v>24</v>
      </c>
      <c r="C14" s="64">
        <v>514.0</v>
      </c>
      <c r="D14" s="64">
        <v>493.0</v>
      </c>
      <c r="E14" s="64">
        <v>1.007</v>
      </c>
      <c r="F14" s="64">
        <v>229.0</v>
      </c>
      <c r="G14" s="64">
        <v>190.0</v>
      </c>
      <c r="H14" s="65">
        <v>419.0</v>
      </c>
      <c r="I14" s="65" t="s">
        <v>188</v>
      </c>
    </row>
    <row r="15">
      <c r="A15" s="62" t="s">
        <v>25</v>
      </c>
      <c r="B15" s="63" t="s">
        <v>26</v>
      </c>
      <c r="C15" s="64">
        <v>728.0</v>
      </c>
      <c r="D15" s="64">
        <v>693.0</v>
      </c>
      <c r="E15" s="64">
        <v>1.421</v>
      </c>
      <c r="F15" s="64">
        <v>339.0</v>
      </c>
      <c r="G15" s="64">
        <v>335.0</v>
      </c>
      <c r="H15" s="65">
        <v>674.0</v>
      </c>
      <c r="I15" s="65" t="s">
        <v>189</v>
      </c>
    </row>
    <row r="16">
      <c r="A16" s="66" t="s">
        <v>190</v>
      </c>
      <c r="B16" s="9"/>
      <c r="C16" s="67">
        <v>8.665</v>
      </c>
      <c r="D16" s="67">
        <v>8.199</v>
      </c>
      <c r="E16" s="67">
        <v>16.864</v>
      </c>
      <c r="F16" s="67">
        <v>4.614</v>
      </c>
      <c r="G16" s="67">
        <v>4454.0</v>
      </c>
      <c r="H16" s="68">
        <v>9068.0</v>
      </c>
      <c r="I16" s="68" t="s">
        <v>191</v>
      </c>
    </row>
  </sheetData>
  <mergeCells count="13">
    <mergeCell ref="G5:G6"/>
    <mergeCell ref="H5:H6"/>
    <mergeCell ref="C1:F2"/>
    <mergeCell ref="C3:E4"/>
    <mergeCell ref="F3:H4"/>
    <mergeCell ref="I3:I6"/>
    <mergeCell ref="C5:C6"/>
    <mergeCell ref="D5:D6"/>
    <mergeCell ref="A3:B6"/>
    <mergeCell ref="A7:B7"/>
    <mergeCell ref="E5:E6"/>
    <mergeCell ref="F5:F6"/>
    <mergeCell ref="A16:B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9" t="s">
        <v>192</v>
      </c>
      <c r="B1" s="39" t="s">
        <v>193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>
      <c r="A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>
      <c r="A3" s="52" t="s">
        <v>194</v>
      </c>
      <c r="B3" s="5"/>
      <c r="C3" s="6"/>
      <c r="D3" s="70" t="s">
        <v>195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19"/>
      <c r="C4" s="20"/>
      <c r="D4" s="70" t="s">
        <v>196</v>
      </c>
      <c r="E4" s="8"/>
      <c r="F4" s="9"/>
      <c r="G4" s="71" t="s">
        <v>197</v>
      </c>
      <c r="H4" s="8"/>
      <c r="I4" s="9"/>
      <c r="J4" s="71" t="s">
        <v>198</v>
      </c>
      <c r="K4" s="8"/>
      <c r="L4" s="9"/>
      <c r="M4" s="71" t="s">
        <v>199</v>
      </c>
      <c r="N4" s="8"/>
      <c r="O4" s="9"/>
      <c r="P4" s="71" t="s">
        <v>200</v>
      </c>
      <c r="Q4" s="8"/>
      <c r="R4" s="9"/>
      <c r="S4" s="71" t="s">
        <v>201</v>
      </c>
      <c r="T4" s="8"/>
      <c r="U4" s="9"/>
      <c r="V4" s="71" t="s">
        <v>202</v>
      </c>
      <c r="W4" s="8"/>
      <c r="X4" s="9"/>
      <c r="Y4" s="72"/>
    </row>
    <row r="5">
      <c r="A5" s="19"/>
      <c r="C5" s="20"/>
      <c r="D5" s="73" t="s">
        <v>203</v>
      </c>
      <c r="E5" s="73" t="s">
        <v>204</v>
      </c>
      <c r="F5" s="73" t="s">
        <v>205</v>
      </c>
      <c r="G5" s="73" t="s">
        <v>206</v>
      </c>
      <c r="H5" s="73" t="s">
        <v>207</v>
      </c>
      <c r="I5" s="73" t="s">
        <v>208</v>
      </c>
      <c r="J5" s="73" t="s">
        <v>209</v>
      </c>
      <c r="K5" s="73" t="s">
        <v>210</v>
      </c>
      <c r="L5" s="73" t="s">
        <v>211</v>
      </c>
      <c r="M5" s="73" t="s">
        <v>212</v>
      </c>
      <c r="N5" s="73" t="s">
        <v>213</v>
      </c>
      <c r="O5" s="73" t="s">
        <v>214</v>
      </c>
      <c r="P5" s="73" t="s">
        <v>215</v>
      </c>
      <c r="Q5" s="73" t="s">
        <v>216</v>
      </c>
      <c r="R5" s="73" t="s">
        <v>217</v>
      </c>
      <c r="S5" s="73" t="s">
        <v>218</v>
      </c>
      <c r="T5" s="73" t="s">
        <v>219</v>
      </c>
      <c r="U5" s="73" t="s">
        <v>220</v>
      </c>
      <c r="V5" s="73" t="s">
        <v>221</v>
      </c>
      <c r="W5" s="73" t="s">
        <v>222</v>
      </c>
      <c r="X5" s="73" t="s">
        <v>223</v>
      </c>
      <c r="Y5" s="73" t="s">
        <v>224</v>
      </c>
    </row>
    <row r="6">
      <c r="A6" s="10"/>
      <c r="B6" s="11"/>
      <c r="C6" s="12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>
      <c r="A7" s="74" t="s">
        <v>7</v>
      </c>
      <c r="B7" s="8"/>
      <c r="C7" s="9"/>
      <c r="D7" s="75" t="s">
        <v>8</v>
      </c>
      <c r="E7" s="8"/>
      <c r="F7" s="9"/>
      <c r="G7" s="75" t="s">
        <v>9</v>
      </c>
      <c r="H7" s="8"/>
      <c r="I7" s="9"/>
      <c r="J7" s="74" t="s">
        <v>10</v>
      </c>
      <c r="K7" s="9"/>
      <c r="L7" s="75" t="s">
        <v>32</v>
      </c>
      <c r="M7" s="8"/>
      <c r="N7" s="9"/>
      <c r="O7" s="74" t="s">
        <v>33</v>
      </c>
      <c r="P7" s="8"/>
      <c r="Q7" s="9"/>
      <c r="R7" s="74" t="s">
        <v>34</v>
      </c>
      <c r="S7" s="9"/>
      <c r="T7" s="75" t="s">
        <v>73</v>
      </c>
      <c r="U7" s="8"/>
      <c r="V7" s="9"/>
      <c r="W7" s="74" t="s">
        <v>74</v>
      </c>
      <c r="X7" s="8"/>
      <c r="Y7" s="9"/>
    </row>
    <row r="8">
      <c r="A8" s="76" t="s">
        <v>11</v>
      </c>
      <c r="B8" s="17" t="s">
        <v>12</v>
      </c>
      <c r="C8" s="9"/>
      <c r="D8" s="77">
        <v>7169.0</v>
      </c>
      <c r="E8" s="77">
        <v>6934.0</v>
      </c>
      <c r="F8" s="77">
        <v>14103.0</v>
      </c>
      <c r="G8" s="78" t="s">
        <v>225</v>
      </c>
      <c r="H8" s="78">
        <v>1.0</v>
      </c>
      <c r="I8" s="78">
        <v>1.0</v>
      </c>
      <c r="J8" s="78">
        <v>14.0</v>
      </c>
      <c r="K8" s="78">
        <v>12.0</v>
      </c>
      <c r="L8" s="78">
        <v>26.0</v>
      </c>
      <c r="M8" s="79" t="s">
        <v>225</v>
      </c>
      <c r="N8" s="79" t="s">
        <v>225</v>
      </c>
      <c r="O8" s="79" t="s">
        <v>225</v>
      </c>
      <c r="P8" s="78">
        <v>1.0</v>
      </c>
      <c r="Q8" s="78">
        <v>2.0</v>
      </c>
      <c r="R8" s="78">
        <v>3.0</v>
      </c>
      <c r="S8" s="79" t="s">
        <v>225</v>
      </c>
      <c r="T8" s="79" t="s">
        <v>225</v>
      </c>
      <c r="U8" s="79" t="s">
        <v>225</v>
      </c>
      <c r="V8" s="78" t="s">
        <v>225</v>
      </c>
      <c r="W8" s="78" t="s">
        <v>225</v>
      </c>
      <c r="X8" s="78" t="s">
        <v>225</v>
      </c>
      <c r="Y8" s="72"/>
    </row>
    <row r="9">
      <c r="A9" s="76" t="s">
        <v>13</v>
      </c>
      <c r="B9" s="17" t="s">
        <v>14</v>
      </c>
      <c r="C9" s="9"/>
      <c r="D9" s="77">
        <v>7145.0</v>
      </c>
      <c r="E9" s="77">
        <v>6858.0</v>
      </c>
      <c r="F9" s="77">
        <v>14003.0</v>
      </c>
      <c r="G9" s="78">
        <v>1.0</v>
      </c>
      <c r="H9" s="78">
        <v>1.0</v>
      </c>
      <c r="I9" s="78">
        <v>2.0</v>
      </c>
      <c r="J9" s="78">
        <v>1.0</v>
      </c>
      <c r="K9" s="78">
        <v>2.0</v>
      </c>
      <c r="L9" s="78">
        <v>3.0</v>
      </c>
      <c r="M9" s="79" t="s">
        <v>225</v>
      </c>
      <c r="N9" s="79" t="s">
        <v>225</v>
      </c>
      <c r="O9" s="79" t="s">
        <v>225</v>
      </c>
      <c r="P9" s="78" t="s">
        <v>225</v>
      </c>
      <c r="Q9" s="78" t="s">
        <v>225</v>
      </c>
      <c r="R9" s="78" t="s">
        <v>225</v>
      </c>
      <c r="S9" s="79" t="s">
        <v>225</v>
      </c>
      <c r="T9" s="79" t="s">
        <v>225</v>
      </c>
      <c r="U9" s="79" t="s">
        <v>225</v>
      </c>
      <c r="V9" s="78" t="s">
        <v>225</v>
      </c>
      <c r="W9" s="78" t="s">
        <v>225</v>
      </c>
      <c r="X9" s="78" t="s">
        <v>225</v>
      </c>
      <c r="Y9" s="72"/>
    </row>
    <row r="10">
      <c r="A10" s="76" t="s">
        <v>15</v>
      </c>
      <c r="B10" s="17" t="s">
        <v>16</v>
      </c>
      <c r="C10" s="9"/>
      <c r="D10" s="77">
        <v>3363.0</v>
      </c>
      <c r="E10" s="77">
        <v>3355.0</v>
      </c>
      <c r="F10" s="77">
        <v>6718.0</v>
      </c>
      <c r="G10" s="78">
        <v>7.0</v>
      </c>
      <c r="H10" s="78">
        <v>5.0</v>
      </c>
      <c r="I10" s="78">
        <v>12.0</v>
      </c>
      <c r="J10" s="78">
        <v>110.0</v>
      </c>
      <c r="K10" s="78">
        <v>106.0</v>
      </c>
      <c r="L10" s="78">
        <v>216.0</v>
      </c>
      <c r="M10" s="78" t="s">
        <v>225</v>
      </c>
      <c r="N10" s="78" t="s">
        <v>225</v>
      </c>
      <c r="O10" s="78" t="s">
        <v>225</v>
      </c>
      <c r="P10" s="78">
        <v>1.0</v>
      </c>
      <c r="Q10" s="79">
        <v>4.0</v>
      </c>
      <c r="R10" s="78">
        <v>5.0</v>
      </c>
      <c r="S10" s="79" t="s">
        <v>225</v>
      </c>
      <c r="T10" s="79" t="s">
        <v>225</v>
      </c>
      <c r="U10" s="79" t="s">
        <v>225</v>
      </c>
      <c r="V10" s="79" t="s">
        <v>225</v>
      </c>
      <c r="W10" s="79" t="s">
        <v>225</v>
      </c>
      <c r="X10" s="79" t="s">
        <v>225</v>
      </c>
      <c r="Y10" s="72"/>
    </row>
    <row r="11">
      <c r="A11" s="76" t="s">
        <v>17</v>
      </c>
      <c r="B11" s="17" t="s">
        <v>18</v>
      </c>
      <c r="C11" s="9"/>
      <c r="D11" s="77">
        <v>2701.0</v>
      </c>
      <c r="E11" s="77">
        <v>2607.0</v>
      </c>
      <c r="F11" s="77">
        <v>5308.0</v>
      </c>
      <c r="G11" s="78" t="s">
        <v>225</v>
      </c>
      <c r="H11" s="78" t="s">
        <v>225</v>
      </c>
      <c r="I11" s="78" t="s">
        <v>225</v>
      </c>
      <c r="J11" s="78" t="s">
        <v>225</v>
      </c>
      <c r="K11" s="78" t="s">
        <v>225</v>
      </c>
      <c r="L11" s="78" t="s">
        <v>225</v>
      </c>
      <c r="M11" s="79" t="s">
        <v>225</v>
      </c>
      <c r="N11" s="79" t="s">
        <v>225</v>
      </c>
      <c r="O11" s="79" t="s">
        <v>225</v>
      </c>
      <c r="P11" s="78" t="s">
        <v>225</v>
      </c>
      <c r="Q11" s="79" t="s">
        <v>225</v>
      </c>
      <c r="R11" s="78" t="s">
        <v>225</v>
      </c>
      <c r="S11" s="79" t="s">
        <v>225</v>
      </c>
      <c r="T11" s="79" t="s">
        <v>225</v>
      </c>
      <c r="U11" s="79" t="s">
        <v>225</v>
      </c>
      <c r="V11" s="79" t="s">
        <v>225</v>
      </c>
      <c r="W11" s="79" t="s">
        <v>225</v>
      </c>
      <c r="X11" s="79" t="s">
        <v>225</v>
      </c>
      <c r="Y11" s="72"/>
    </row>
    <row r="12">
      <c r="A12" s="76" t="s">
        <v>19</v>
      </c>
      <c r="B12" s="17" t="s">
        <v>20</v>
      </c>
      <c r="C12" s="9"/>
      <c r="D12" s="77">
        <v>3498.0</v>
      </c>
      <c r="E12" s="77">
        <v>3439.0</v>
      </c>
      <c r="F12" s="77">
        <v>6937.0</v>
      </c>
      <c r="G12" s="78" t="s">
        <v>225</v>
      </c>
      <c r="H12" s="78" t="s">
        <v>225</v>
      </c>
      <c r="I12" s="78" t="s">
        <v>225</v>
      </c>
      <c r="J12" s="78">
        <v>1.0</v>
      </c>
      <c r="K12" s="78">
        <v>2.0</v>
      </c>
      <c r="L12" s="78">
        <v>3.0</v>
      </c>
      <c r="M12" s="78">
        <v>1.0</v>
      </c>
      <c r="N12" s="79">
        <v>1.0</v>
      </c>
      <c r="O12" s="78">
        <v>2.0</v>
      </c>
      <c r="P12" s="78">
        <v>173.0</v>
      </c>
      <c r="Q12" s="79">
        <v>176.0</v>
      </c>
      <c r="R12" s="78">
        <v>349.0</v>
      </c>
      <c r="S12" s="79" t="s">
        <v>225</v>
      </c>
      <c r="T12" s="79" t="s">
        <v>225</v>
      </c>
      <c r="U12" s="79" t="s">
        <v>225</v>
      </c>
      <c r="V12" s="78" t="s">
        <v>225</v>
      </c>
      <c r="W12" s="79" t="s">
        <v>225</v>
      </c>
      <c r="X12" s="78" t="s">
        <v>225</v>
      </c>
      <c r="Y12" s="72"/>
    </row>
    <row r="13">
      <c r="A13" s="76" t="s">
        <v>21</v>
      </c>
      <c r="B13" s="17" t="s">
        <v>22</v>
      </c>
      <c r="C13" s="9"/>
      <c r="D13" s="77">
        <v>4065.0</v>
      </c>
      <c r="E13" s="77">
        <v>4172.0</v>
      </c>
      <c r="F13" s="77">
        <v>8237.0</v>
      </c>
      <c r="G13" s="78">
        <v>1.0</v>
      </c>
      <c r="H13" s="78" t="s">
        <v>225</v>
      </c>
      <c r="I13" s="78">
        <v>1.0</v>
      </c>
      <c r="J13" s="78">
        <v>23.0</v>
      </c>
      <c r="K13" s="78">
        <v>21.0</v>
      </c>
      <c r="L13" s="78">
        <v>44.0</v>
      </c>
      <c r="M13" s="79">
        <v>196.0</v>
      </c>
      <c r="N13" s="79">
        <v>200.0</v>
      </c>
      <c r="O13" s="79">
        <v>396.0</v>
      </c>
      <c r="P13" s="78">
        <v>3.0</v>
      </c>
      <c r="Q13" s="78">
        <v>2.0</v>
      </c>
      <c r="R13" s="78">
        <v>5.0</v>
      </c>
      <c r="S13" s="78" t="s">
        <v>225</v>
      </c>
      <c r="T13" s="78" t="s">
        <v>225</v>
      </c>
      <c r="U13" s="78" t="s">
        <v>225</v>
      </c>
      <c r="V13" s="78" t="s">
        <v>225</v>
      </c>
      <c r="W13" s="79" t="s">
        <v>225</v>
      </c>
      <c r="X13" s="78" t="s">
        <v>225</v>
      </c>
      <c r="Y13" s="72"/>
    </row>
    <row r="14">
      <c r="A14" s="76" t="s">
        <v>23</v>
      </c>
      <c r="B14" s="17" t="s">
        <v>24</v>
      </c>
      <c r="C14" s="9"/>
      <c r="D14" s="77">
        <v>2065.0</v>
      </c>
      <c r="E14" s="77">
        <v>1936.0</v>
      </c>
      <c r="F14" s="77">
        <v>4001.0</v>
      </c>
      <c r="G14" s="78" t="s">
        <v>225</v>
      </c>
      <c r="H14" s="78">
        <v>1.0</v>
      </c>
      <c r="I14" s="78">
        <v>1.0</v>
      </c>
      <c r="J14" s="78">
        <v>2.0</v>
      </c>
      <c r="K14" s="78">
        <v>2.0</v>
      </c>
      <c r="L14" s="78">
        <v>4.0</v>
      </c>
      <c r="M14" s="79" t="s">
        <v>225</v>
      </c>
      <c r="N14" s="79" t="s">
        <v>225</v>
      </c>
      <c r="O14" s="79" t="s">
        <v>225</v>
      </c>
      <c r="P14" s="78" t="s">
        <v>225</v>
      </c>
      <c r="Q14" s="78" t="s">
        <v>225</v>
      </c>
      <c r="R14" s="78" t="s">
        <v>225</v>
      </c>
      <c r="S14" s="79" t="s">
        <v>225</v>
      </c>
      <c r="T14" s="79" t="s">
        <v>225</v>
      </c>
      <c r="U14" s="79" t="s">
        <v>225</v>
      </c>
      <c r="V14" s="79" t="s">
        <v>225</v>
      </c>
      <c r="W14" s="79" t="s">
        <v>225</v>
      </c>
      <c r="X14" s="79" t="s">
        <v>225</v>
      </c>
      <c r="Y14" s="72"/>
    </row>
    <row r="15">
      <c r="A15" s="76" t="s">
        <v>25</v>
      </c>
      <c r="B15" s="17" t="s">
        <v>26</v>
      </c>
      <c r="C15" s="9"/>
      <c r="D15" s="77">
        <v>2718.0</v>
      </c>
      <c r="E15" s="77">
        <v>2599.0</v>
      </c>
      <c r="F15" s="77">
        <v>5317.0</v>
      </c>
      <c r="G15" s="78" t="s">
        <v>225</v>
      </c>
      <c r="H15" s="78" t="s">
        <v>225</v>
      </c>
      <c r="I15" s="78" t="s">
        <v>225</v>
      </c>
      <c r="J15" s="77">
        <v>4.0</v>
      </c>
      <c r="K15" s="77">
        <v>7.0</v>
      </c>
      <c r="L15" s="77">
        <v>11.0</v>
      </c>
      <c r="M15" s="79" t="s">
        <v>225</v>
      </c>
      <c r="N15" s="79" t="s">
        <v>225</v>
      </c>
      <c r="O15" s="79" t="s">
        <v>225</v>
      </c>
      <c r="P15" s="79">
        <v>2.0</v>
      </c>
      <c r="Q15" s="79">
        <v>3.0</v>
      </c>
      <c r="R15" s="79">
        <v>5.0</v>
      </c>
      <c r="S15" s="79" t="s">
        <v>225</v>
      </c>
      <c r="T15" s="78" t="s">
        <v>225</v>
      </c>
      <c r="U15" s="78" t="s">
        <v>225</v>
      </c>
      <c r="V15" s="79" t="s">
        <v>225</v>
      </c>
      <c r="W15" s="79" t="s">
        <v>225</v>
      </c>
      <c r="X15" s="79" t="s">
        <v>225</v>
      </c>
      <c r="Y15" s="72"/>
    </row>
    <row r="16">
      <c r="A16" s="80" t="s">
        <v>226</v>
      </c>
      <c r="B16" s="8"/>
      <c r="C16" s="9"/>
      <c r="D16" s="81">
        <v>32724.0</v>
      </c>
      <c r="E16" s="81">
        <v>31900.0</v>
      </c>
      <c r="F16" s="81">
        <v>64624.0</v>
      </c>
      <c r="G16" s="82">
        <v>9.0</v>
      </c>
      <c r="H16" s="82">
        <v>8.0</v>
      </c>
      <c r="I16" s="82">
        <v>17.0</v>
      </c>
      <c r="J16" s="81">
        <v>155.0</v>
      </c>
      <c r="K16" s="81">
        <v>152.0</v>
      </c>
      <c r="L16" s="81">
        <v>307.0</v>
      </c>
      <c r="M16" s="82">
        <v>197.0</v>
      </c>
      <c r="N16" s="82">
        <v>201.0</v>
      </c>
      <c r="O16" s="82">
        <v>398.0</v>
      </c>
      <c r="P16" s="82">
        <v>180.0</v>
      </c>
      <c r="Q16" s="82">
        <v>187.0</v>
      </c>
      <c r="R16" s="82">
        <v>367.0</v>
      </c>
      <c r="S16" s="82" t="s">
        <v>225</v>
      </c>
      <c r="T16" s="82" t="s">
        <v>225</v>
      </c>
      <c r="U16" s="82" t="s">
        <v>225</v>
      </c>
      <c r="V16" s="82" t="s">
        <v>225</v>
      </c>
      <c r="W16" s="82" t="s">
        <v>225</v>
      </c>
      <c r="X16" s="82" t="s">
        <v>225</v>
      </c>
      <c r="Y16" s="83"/>
    </row>
  </sheetData>
  <mergeCells count="50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A16:C16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